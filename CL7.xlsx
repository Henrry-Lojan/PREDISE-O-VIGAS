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6.xml" ContentType="application/vnd.openxmlformats-officedocument.drawing+xml"/>
  <Override PartName="/xl/charts/chart3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57730ba07c3b6bd/Escritorio/CURSOS/CASA COMPLETA/"/>
    </mc:Choice>
  </mc:AlternateContent>
  <xr:revisionPtr revIDLastSave="3588" documentId="8_{B125AF70-F81B-4B1B-9346-85CE9DB5B17C}" xr6:coauthVersionLast="47" xr6:coauthVersionMax="47" xr10:uidLastSave="{E2E71000-CEA9-41CD-9961-58D307E53535}"/>
  <bookViews>
    <workbookView xWindow="-108" yWindow="-108" windowWidth="23256" windowHeight="12456" firstSheet="3" activeTab="7" xr2:uid="{F8546C9B-3894-4BF6-AC4B-CD527598D282}"/>
  </bookViews>
  <sheets>
    <sheet name="losa horm" sheetId="1" r:id="rId1"/>
    <sheet name="VIGAS horm" sheetId="2" r:id="rId2"/>
    <sheet name="Hoja2" sheetId="12" r:id="rId3"/>
    <sheet name="COL horm" sheetId="3" r:id="rId4"/>
    <sheet name="VIGAS MET" sheetId="4" r:id="rId5"/>
    <sheet name="COL MET" sheetId="6" r:id="rId6"/>
    <sheet name="SISMICA" sheetId="7" r:id="rId7"/>
    <sheet name="Hoja3" sheetId="13" r:id="rId8"/>
    <sheet name="Hoja1" sheetId="5" r:id="rId9"/>
    <sheet name="CIM" sheetId="8" r:id="rId10"/>
    <sheet name="DATOS MEMORIA" sheetId="9" r:id="rId11"/>
    <sheet name="DATOS SISMICOS" sheetId="10" r:id="rId12"/>
    <sheet name="Hoja4" sheetId="11" r:id="rId13"/>
  </sheets>
  <externalReferences>
    <externalReference r:id="rId14"/>
  </externalReferences>
  <definedNames>
    <definedName name="_xlnm._FilterDatabase" localSheetId="9" hidden="1">CIM!$A$5:$L$29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1" l="1"/>
  <c r="T9" i="1"/>
  <c r="T5" i="1"/>
  <c r="T6" i="1" s="1"/>
  <c r="T7" i="1" s="1"/>
  <c r="T10" i="1" s="1"/>
  <c r="T11" i="1" s="1"/>
  <c r="T4" i="1"/>
  <c r="Q11" i="1"/>
  <c r="N11" i="1"/>
  <c r="Q9" i="1"/>
  <c r="Q5" i="1"/>
  <c r="Q4" i="1"/>
  <c r="Q3" i="1"/>
  <c r="Q6" i="1"/>
  <c r="Q7" i="1" s="1"/>
  <c r="Q10" i="1" s="1"/>
  <c r="N10" i="1"/>
  <c r="N9" i="1"/>
  <c r="N3" i="1"/>
  <c r="E28" i="11"/>
  <c r="F27" i="11"/>
  <c r="F25" i="11"/>
  <c r="F24" i="11"/>
  <c r="P9" i="11"/>
  <c r="Q9" i="11" s="1"/>
  <c r="P8" i="11"/>
  <c r="Q8" i="11"/>
  <c r="Q7" i="11"/>
  <c r="P7" i="11"/>
  <c r="B27" i="10"/>
  <c r="B26" i="10"/>
  <c r="B25" i="10"/>
  <c r="B11" i="10"/>
  <c r="E29" i="10" s="1"/>
  <c r="F29" i="10" s="1"/>
  <c r="G42" i="10"/>
  <c r="D42" i="10"/>
  <c r="E38" i="10"/>
  <c r="E37" i="10"/>
  <c r="E18" i="10"/>
  <c r="F18" i="10" s="1"/>
  <c r="E16" i="10"/>
  <c r="F16" i="10" s="1"/>
  <c r="E22" i="10"/>
  <c r="F22" i="10" s="1"/>
  <c r="E10" i="10"/>
  <c r="F10" i="10" s="1"/>
  <c r="M12" i="6"/>
  <c r="B11" i="4"/>
  <c r="C22" i="9"/>
  <c r="C17" i="9"/>
  <c r="C16" i="9"/>
  <c r="C14" i="9"/>
  <c r="C11" i="9"/>
  <c r="O10" i="9"/>
  <c r="O9" i="9"/>
  <c r="O8" i="9"/>
  <c r="O7" i="9"/>
  <c r="H7" i="9"/>
  <c r="H9" i="9" s="1"/>
  <c r="H10" i="9" s="1"/>
  <c r="H11" i="9" s="1"/>
  <c r="H12" i="9" s="1"/>
  <c r="E7" i="9"/>
  <c r="O6" i="9"/>
  <c r="O11" i="9" s="1"/>
  <c r="M15" i="9" s="1"/>
  <c r="M18" i="9" s="1"/>
  <c r="M20" i="9" s="1"/>
  <c r="M21" i="9" s="1"/>
  <c r="M26" i="9" s="1"/>
  <c r="M29" i="9" s="1"/>
  <c r="E6" i="9"/>
  <c r="AD8" i="8"/>
  <c r="AH38" i="8"/>
  <c r="AH37" i="8"/>
  <c r="AH36" i="8"/>
  <c r="AH33" i="8"/>
  <c r="AH34" i="8"/>
  <c r="AH35" i="8"/>
  <c r="AH32" i="8"/>
  <c r="AF34" i="8"/>
  <c r="AF35" i="8" s="1"/>
  <c r="AF33" i="8"/>
  <c r="AD34" i="8"/>
  <c r="AD35" i="8"/>
  <c r="AD33" i="8"/>
  <c r="AB34" i="8"/>
  <c r="AB35" i="8" s="1"/>
  <c r="AB33" i="8"/>
  <c r="X32" i="8"/>
  <c r="AA33" i="8"/>
  <c r="AA34" i="8"/>
  <c r="AA35" i="8"/>
  <c r="AA32" i="8"/>
  <c r="W32" i="8"/>
  <c r="U33" i="8"/>
  <c r="W33" i="8" s="1"/>
  <c r="P33" i="8"/>
  <c r="P34" i="8"/>
  <c r="P32" i="8"/>
  <c r="N35" i="8"/>
  <c r="O35" i="8"/>
  <c r="I42" i="8"/>
  <c r="J42" i="8" s="1"/>
  <c r="I40" i="8"/>
  <c r="E24" i="10" l="1"/>
  <c r="F24" i="10" s="1"/>
  <c r="E25" i="10"/>
  <c r="F25" i="10" s="1"/>
  <c r="E7" i="10"/>
  <c r="F7" i="10" s="1"/>
  <c r="E15" i="10"/>
  <c r="F15" i="10" s="1"/>
  <c r="E23" i="10"/>
  <c r="F23" i="10" s="1"/>
  <c r="E8" i="10"/>
  <c r="F8" i="10" s="1"/>
  <c r="E30" i="10"/>
  <c r="F30" i="10" s="1"/>
  <c r="E9" i="10"/>
  <c r="F9" i="10" s="1"/>
  <c r="E17" i="10"/>
  <c r="F17" i="10" s="1"/>
  <c r="E31" i="10"/>
  <c r="F31" i="10" s="1"/>
  <c r="E32" i="10"/>
  <c r="F32" i="10" s="1"/>
  <c r="E11" i="10"/>
  <c r="F11" i="10" s="1"/>
  <c r="E19" i="10"/>
  <c r="F19" i="10" s="1"/>
  <c r="E26" i="10"/>
  <c r="F26" i="10" s="1"/>
  <c r="E4" i="10"/>
  <c r="F4" i="10" s="1"/>
  <c r="E33" i="10"/>
  <c r="F33" i="10" s="1"/>
  <c r="E12" i="10"/>
  <c r="F12" i="10" s="1"/>
  <c r="E20" i="10"/>
  <c r="F20" i="10" s="1"/>
  <c r="E5" i="10"/>
  <c r="F5" i="10" s="1"/>
  <c r="E27" i="10"/>
  <c r="F27" i="10" s="1"/>
  <c r="E3" i="10"/>
  <c r="F3" i="10" s="1"/>
  <c r="E13" i="10"/>
  <c r="F13" i="10" s="1"/>
  <c r="E21" i="10"/>
  <c r="F21" i="10" s="1"/>
  <c r="E6" i="10"/>
  <c r="F6" i="10" s="1"/>
  <c r="E28" i="10"/>
  <c r="F28" i="10" s="1"/>
  <c r="E14" i="10"/>
  <c r="F14" i="10" s="1"/>
  <c r="E8" i="9"/>
  <c r="C25" i="9" s="1"/>
  <c r="P35" i="8"/>
  <c r="X33" i="8"/>
  <c r="U34" i="8"/>
  <c r="W34" i="8" l="1"/>
  <c r="X34" i="8"/>
  <c r="U35" i="8"/>
  <c r="X35" i="8" s="1"/>
  <c r="W35" i="8" l="1"/>
  <c r="L33" i="8" l="1"/>
  <c r="L34" i="8"/>
  <c r="L35" i="8"/>
  <c r="L32" i="8"/>
  <c r="H8" i="8"/>
  <c r="J8" i="8" s="1"/>
  <c r="K8" i="8" s="1"/>
  <c r="H10" i="8"/>
  <c r="J10" i="8" s="1"/>
  <c r="K10" i="8" s="1"/>
  <c r="H12" i="8"/>
  <c r="J12" i="8" s="1"/>
  <c r="K12" i="8" s="1"/>
  <c r="H14" i="8"/>
  <c r="J14" i="8" s="1"/>
  <c r="K14" i="8" s="1"/>
  <c r="H16" i="8"/>
  <c r="J16" i="8" s="1"/>
  <c r="K16" i="8" s="1"/>
  <c r="L16" i="8" s="1"/>
  <c r="H18" i="8"/>
  <c r="J18" i="8" s="1"/>
  <c r="K18" i="8" s="1"/>
  <c r="H20" i="8"/>
  <c r="J20" i="8" s="1"/>
  <c r="K20" i="8" s="1"/>
  <c r="H22" i="8"/>
  <c r="J22" i="8" s="1"/>
  <c r="K22" i="8" s="1"/>
  <c r="H24" i="8"/>
  <c r="J24" i="8" s="1"/>
  <c r="K24" i="8" s="1"/>
  <c r="H26" i="8"/>
  <c r="J26" i="8" s="1"/>
  <c r="K26" i="8" s="1"/>
  <c r="L26" i="8" s="1"/>
  <c r="H28" i="8"/>
  <c r="J28" i="8" s="1"/>
  <c r="K28" i="8" s="1"/>
  <c r="H6" i="8"/>
  <c r="J6" i="8" s="1"/>
  <c r="K6" i="8" s="1"/>
  <c r="L6" i="8" s="1"/>
  <c r="F7" i="8"/>
  <c r="G7" i="8"/>
  <c r="F8" i="8"/>
  <c r="G8" i="8"/>
  <c r="F9" i="8"/>
  <c r="G9" i="8"/>
  <c r="F10" i="8"/>
  <c r="G10" i="8"/>
  <c r="F11" i="8"/>
  <c r="G11" i="8"/>
  <c r="F12" i="8"/>
  <c r="G12" i="8"/>
  <c r="F13" i="8"/>
  <c r="G13" i="8"/>
  <c r="F14" i="8"/>
  <c r="G14" i="8"/>
  <c r="F15" i="8"/>
  <c r="G15" i="8"/>
  <c r="F16" i="8"/>
  <c r="G16" i="8"/>
  <c r="F17" i="8"/>
  <c r="G17" i="8"/>
  <c r="F18" i="8"/>
  <c r="G18" i="8"/>
  <c r="F19" i="8"/>
  <c r="G19" i="8"/>
  <c r="F20" i="8"/>
  <c r="G20" i="8"/>
  <c r="F21" i="8"/>
  <c r="G21" i="8"/>
  <c r="F22" i="8"/>
  <c r="G22" i="8"/>
  <c r="F23" i="8"/>
  <c r="G23" i="8"/>
  <c r="F24" i="8"/>
  <c r="G24" i="8"/>
  <c r="F25" i="8"/>
  <c r="G25" i="8"/>
  <c r="F26" i="8"/>
  <c r="G26" i="8"/>
  <c r="F27" i="8"/>
  <c r="G27" i="8"/>
  <c r="F28" i="8"/>
  <c r="G28" i="8"/>
  <c r="F29" i="8"/>
  <c r="G29" i="8"/>
  <c r="G6" i="8"/>
  <c r="F6" i="8"/>
  <c r="K4" i="7"/>
  <c r="K5" i="7" s="1"/>
  <c r="F4" i="7"/>
  <c r="K2" i="7"/>
  <c r="L14" i="7"/>
  <c r="M14" i="7" s="1"/>
  <c r="L13" i="7"/>
  <c r="M13" i="7" s="1"/>
  <c r="G14" i="7"/>
  <c r="H14" i="7" s="1"/>
  <c r="G13" i="7"/>
  <c r="H13" i="7" s="1"/>
  <c r="U3" i="7"/>
  <c r="U7" i="7" s="1"/>
  <c r="P7" i="7"/>
  <c r="Q7" i="7" s="1"/>
  <c r="P8" i="7"/>
  <c r="Q8" i="7" s="1"/>
  <c r="P9" i="7"/>
  <c r="Q9" i="7" s="1"/>
  <c r="P15" i="7"/>
  <c r="Q15" i="7" s="1"/>
  <c r="P21" i="7"/>
  <c r="Q21" i="7" s="1"/>
  <c r="P22" i="7"/>
  <c r="Q22" i="7" s="1"/>
  <c r="F2" i="7"/>
  <c r="P16" i="7" s="1"/>
  <c r="Q16" i="7" s="1"/>
  <c r="Z3" i="4"/>
  <c r="M32" i="8" l="1"/>
  <c r="Q32" i="8"/>
  <c r="Y32" i="8"/>
  <c r="M35" i="8"/>
  <c r="Q35" i="8"/>
  <c r="S35" i="8" s="1"/>
  <c r="Y35" i="8"/>
  <c r="M34" i="8"/>
  <c r="Q34" i="8"/>
  <c r="S34" i="8" s="1"/>
  <c r="Y34" i="8"/>
  <c r="M33" i="8"/>
  <c r="Q33" i="8"/>
  <c r="S33" i="8" s="1"/>
  <c r="Y33" i="8"/>
  <c r="I6" i="8"/>
  <c r="I8" i="8"/>
  <c r="I24" i="8"/>
  <c r="I22" i="8"/>
  <c r="I12" i="8"/>
  <c r="I10" i="8"/>
  <c r="I26" i="8"/>
  <c r="I20" i="8"/>
  <c r="I16" i="8"/>
  <c r="I18" i="8"/>
  <c r="I14" i="8"/>
  <c r="I28" i="8"/>
  <c r="P12" i="7"/>
  <c r="Q12" i="7" s="1"/>
  <c r="P11" i="7"/>
  <c r="Q11" i="7" s="1"/>
  <c r="P29" i="7"/>
  <c r="Q29" i="7" s="1"/>
  <c r="P27" i="7"/>
  <c r="Q27" i="7" s="1"/>
  <c r="P6" i="7"/>
  <c r="Q6" i="7" s="1"/>
  <c r="P13" i="7"/>
  <c r="Q13" i="7" s="1"/>
  <c r="P31" i="7"/>
  <c r="Q31" i="7" s="1"/>
  <c r="P28" i="7"/>
  <c r="Q28" i="7" s="1"/>
  <c r="P26" i="7"/>
  <c r="Q26" i="7" s="1"/>
  <c r="P5" i="7"/>
  <c r="Q5" i="7" s="1"/>
  <c r="P25" i="7"/>
  <c r="Q25" i="7" s="1"/>
  <c r="P30" i="7"/>
  <c r="Q30" i="7" s="1"/>
  <c r="P24" i="7"/>
  <c r="Q24" i="7" s="1"/>
  <c r="P14" i="7"/>
  <c r="Q14" i="7" s="1"/>
  <c r="P10" i="7"/>
  <c r="Q10" i="7" s="1"/>
  <c r="P23" i="7"/>
  <c r="Q23" i="7" s="1"/>
  <c r="P20" i="7"/>
  <c r="Q20" i="7" s="1"/>
  <c r="P4" i="7"/>
  <c r="P19" i="7"/>
  <c r="Q19" i="7" s="1"/>
  <c r="P3" i="7"/>
  <c r="Q3" i="7" s="1"/>
  <c r="P18" i="7"/>
  <c r="Q18" i="7" s="1"/>
  <c r="P2" i="7"/>
  <c r="Q2" i="7" s="1"/>
  <c r="P17" i="7"/>
  <c r="Q17" i="7" s="1"/>
  <c r="P32" i="7"/>
  <c r="Q32" i="7" s="1"/>
  <c r="U4" i="7"/>
  <c r="F10" i="6"/>
  <c r="F11" i="6" s="1"/>
  <c r="J26" i="6"/>
  <c r="K23" i="6"/>
  <c r="J15" i="6"/>
  <c r="J14" i="6"/>
  <c r="J8" i="6"/>
  <c r="J7" i="6"/>
  <c r="B20" i="6"/>
  <c r="B27" i="6" s="1"/>
  <c r="F15" i="6"/>
  <c r="F14" i="6"/>
  <c r="F13" i="6"/>
  <c r="F12" i="6"/>
  <c r="B11" i="6"/>
  <c r="C11" i="6"/>
  <c r="A11" i="6"/>
  <c r="B8" i="6"/>
  <c r="B7" i="6"/>
  <c r="B6" i="6"/>
  <c r="B5" i="6"/>
  <c r="B4" i="6"/>
  <c r="B3" i="6"/>
  <c r="B2" i="6"/>
  <c r="AC35" i="8" l="1"/>
  <c r="R35" i="8"/>
  <c r="T35" i="8" s="1"/>
  <c r="V35" i="8" s="1"/>
  <c r="AE35" i="8" s="1"/>
  <c r="AC34" i="8"/>
  <c r="R34" i="8"/>
  <c r="T34" i="8" s="1"/>
  <c r="V34" i="8" s="1"/>
  <c r="AE34" i="8" s="1"/>
  <c r="S32" i="8"/>
  <c r="AC33" i="8"/>
  <c r="R33" i="8"/>
  <c r="T33" i="8" s="1"/>
  <c r="V33" i="8" s="1"/>
  <c r="AE33" i="8" s="1"/>
  <c r="AC32" i="8"/>
  <c r="R32" i="8"/>
  <c r="T32" i="8" s="1"/>
  <c r="V32" i="8" s="1"/>
  <c r="AE32" i="8" s="1"/>
  <c r="Q4" i="7"/>
  <c r="B33" i="6"/>
  <c r="B32" i="6"/>
  <c r="J25" i="6"/>
  <c r="B23" i="6" s="1"/>
  <c r="B17" i="6" s="1"/>
  <c r="J24" i="6"/>
  <c r="K24" i="6" s="1"/>
  <c r="J22" i="6"/>
  <c r="K22" i="6" s="1"/>
  <c r="I9" i="6"/>
  <c r="I16" i="6"/>
  <c r="F17" i="6"/>
  <c r="F19" i="6" s="1"/>
  <c r="F16" i="6"/>
  <c r="F18" i="6" s="1"/>
  <c r="Z5" i="4"/>
  <c r="Z51" i="4"/>
  <c r="Z48" i="4"/>
  <c r="Z41" i="4"/>
  <c r="Z24" i="4"/>
  <c r="Z26" i="4" s="1"/>
  <c r="Z22" i="4"/>
  <c r="Z21" i="4"/>
  <c r="Z20" i="4"/>
  <c r="Z18" i="4"/>
  <c r="Z19" i="4" s="1"/>
  <c r="V41" i="4"/>
  <c r="V51" i="4"/>
  <c r="V24" i="4"/>
  <c r="V26" i="4" s="1"/>
  <c r="V21" i="4"/>
  <c r="V5" i="4"/>
  <c r="V48" i="4" s="1"/>
  <c r="B8" i="4"/>
  <c r="R6" i="4"/>
  <c r="N6" i="4"/>
  <c r="J21" i="4"/>
  <c r="N21" i="4" s="1"/>
  <c r="J19" i="4"/>
  <c r="J18" i="4"/>
  <c r="J24" i="4" s="1"/>
  <c r="J3" i="4"/>
  <c r="N3" i="4" s="1"/>
  <c r="F28" i="4"/>
  <c r="F31" i="4" s="1"/>
  <c r="F26" i="4"/>
  <c r="F25" i="4"/>
  <c r="F24" i="4"/>
  <c r="F22" i="4"/>
  <c r="F23" i="4" s="1"/>
  <c r="C11" i="4"/>
  <c r="A11" i="4"/>
  <c r="B7" i="4"/>
  <c r="B6" i="4"/>
  <c r="B5" i="4"/>
  <c r="N5" i="4" s="1"/>
  <c r="N15" i="4" s="1"/>
  <c r="B4" i="4"/>
  <c r="F5" i="4" s="1"/>
  <c r="F15" i="4" s="1"/>
  <c r="B3" i="4"/>
  <c r="R4" i="4" s="1"/>
  <c r="B2" i="4"/>
  <c r="F4" i="4" s="1"/>
  <c r="J17" i="2"/>
  <c r="R20" i="3"/>
  <c r="Q20" i="3"/>
  <c r="R19" i="3"/>
  <c r="Q19" i="3"/>
  <c r="N26" i="3"/>
  <c r="N25" i="3" s="1"/>
  <c r="N22" i="3"/>
  <c r="O7" i="3"/>
  <c r="O8" i="3" s="1"/>
  <c r="J15" i="3"/>
  <c r="G15" i="3" s="1"/>
  <c r="J5" i="3"/>
  <c r="J11" i="3" s="1"/>
  <c r="K11" i="3" s="1"/>
  <c r="J4" i="3"/>
  <c r="J2" i="3"/>
  <c r="J3" i="3" s="1"/>
  <c r="F6" i="3"/>
  <c r="B15" i="3"/>
  <c r="B14" i="3"/>
  <c r="C10" i="3"/>
  <c r="A10" i="3"/>
  <c r="B7" i="3"/>
  <c r="B6" i="3"/>
  <c r="B5" i="3"/>
  <c r="B4" i="3"/>
  <c r="B3" i="3"/>
  <c r="B2" i="3"/>
  <c r="F13" i="2"/>
  <c r="J12" i="2"/>
  <c r="J9" i="2"/>
  <c r="B21" i="2"/>
  <c r="B20" i="2"/>
  <c r="F27" i="2"/>
  <c r="F17" i="2"/>
  <c r="F12" i="2"/>
  <c r="G12" i="2" s="1"/>
  <c r="B12" i="2"/>
  <c r="B12" i="6" s="1"/>
  <c r="B13" i="6" s="1"/>
  <c r="C11" i="2"/>
  <c r="A11" i="2"/>
  <c r="B3" i="2"/>
  <c r="B4" i="2"/>
  <c r="F3" i="2" s="1"/>
  <c r="B5" i="2"/>
  <c r="B6" i="2"/>
  <c r="B7" i="2"/>
  <c r="B2" i="2"/>
  <c r="F2" i="2" s="1"/>
  <c r="J12" i="1"/>
  <c r="B19" i="1"/>
  <c r="B18" i="1"/>
  <c r="I25" i="1"/>
  <c r="I26" i="1" s="1"/>
  <c r="G27" i="1"/>
  <c r="G25" i="1"/>
  <c r="G26" i="1" s="1"/>
  <c r="F25" i="1"/>
  <c r="F15" i="1"/>
  <c r="I27" i="1" s="1"/>
  <c r="F2" i="1"/>
  <c r="F4" i="1" s="1"/>
  <c r="F5" i="1" s="1"/>
  <c r="F5" i="7" l="1"/>
  <c r="V4" i="7"/>
  <c r="V7" i="7"/>
  <c r="V6" i="7"/>
  <c r="J14" i="2"/>
  <c r="F14" i="2"/>
  <c r="N20" i="3"/>
  <c r="R18" i="3" s="1"/>
  <c r="Z9" i="4"/>
  <c r="V42" i="4"/>
  <c r="V44" i="4" s="1"/>
  <c r="V38" i="4" s="1"/>
  <c r="V43" i="4"/>
  <c r="R7" i="4"/>
  <c r="S19" i="3"/>
  <c r="S39" i="3" s="1"/>
  <c r="J13" i="2"/>
  <c r="S20" i="3"/>
  <c r="S40" i="3" s="1"/>
  <c r="B11" i="3"/>
  <c r="B12" i="4"/>
  <c r="B13" i="4" s="1"/>
  <c r="F2" i="3"/>
  <c r="F2" i="6" s="1"/>
  <c r="F3" i="6" s="1"/>
  <c r="B26" i="6" s="1"/>
  <c r="B30" i="6" s="1"/>
  <c r="B36" i="6" s="1"/>
  <c r="J11" i="1"/>
  <c r="J13" i="1" s="1"/>
  <c r="J14" i="1" s="1"/>
  <c r="J15" i="1"/>
  <c r="F20" i="6"/>
  <c r="F21" i="6"/>
  <c r="G19" i="6"/>
  <c r="B22" i="6"/>
  <c r="B16" i="6" s="1"/>
  <c r="G18" i="6"/>
  <c r="Z42" i="4"/>
  <c r="Z44" i="4" s="1"/>
  <c r="Z38" i="4" s="1"/>
  <c r="Z43" i="4"/>
  <c r="Z4" i="4"/>
  <c r="Z23" i="4"/>
  <c r="Z25" i="4" s="1"/>
  <c r="Z27" i="4"/>
  <c r="Z28" i="4"/>
  <c r="Z30" i="4"/>
  <c r="Z29" i="4"/>
  <c r="AA16" i="4" s="1"/>
  <c r="Z45" i="4"/>
  <c r="Z36" i="4" s="1"/>
  <c r="J28" i="4"/>
  <c r="J31" i="4" s="1"/>
  <c r="J25" i="4"/>
  <c r="N19" i="4"/>
  <c r="R19" i="4" s="1"/>
  <c r="V30" i="4"/>
  <c r="V29" i="4"/>
  <c r="W16" i="4" s="1"/>
  <c r="V28" i="4"/>
  <c r="V27" i="4"/>
  <c r="V20" i="4"/>
  <c r="V22" i="4"/>
  <c r="V9" i="4" s="1"/>
  <c r="V18" i="4"/>
  <c r="V19" i="4" s="1"/>
  <c r="N28" i="4"/>
  <c r="R3" i="4"/>
  <c r="R28" i="4" s="1"/>
  <c r="R31" i="4" s="1"/>
  <c r="F7" i="4"/>
  <c r="N4" i="4"/>
  <c r="N7" i="4" s="1"/>
  <c r="M8" i="4" s="1"/>
  <c r="F35" i="4"/>
  <c r="F34" i="4"/>
  <c r="G20" i="4" s="1"/>
  <c r="F33" i="4"/>
  <c r="F32" i="4"/>
  <c r="G18" i="4" s="1"/>
  <c r="R21" i="4"/>
  <c r="J26" i="4"/>
  <c r="J12" i="4" s="1"/>
  <c r="J4" i="4"/>
  <c r="J7" i="4" s="1"/>
  <c r="I8" i="4" s="1"/>
  <c r="J5" i="4"/>
  <c r="J15" i="4" s="1"/>
  <c r="R5" i="4"/>
  <c r="R15" i="4" s="1"/>
  <c r="N18" i="4"/>
  <c r="R18" i="4" s="1"/>
  <c r="V4" i="4"/>
  <c r="J22" i="4"/>
  <c r="J23" i="4" s="1"/>
  <c r="Q8" i="4"/>
  <c r="N31" i="4"/>
  <c r="F12" i="4"/>
  <c r="F27" i="4"/>
  <c r="F29" i="4" s="1"/>
  <c r="G14" i="4" s="1"/>
  <c r="N23" i="3"/>
  <c r="F15" i="2"/>
  <c r="F18" i="2" s="1"/>
  <c r="J6" i="2"/>
  <c r="P5" i="3"/>
  <c r="P3" i="3"/>
  <c r="J6" i="3"/>
  <c r="J13" i="3" s="1"/>
  <c r="J14" i="3" s="1"/>
  <c r="G16" i="3" s="1"/>
  <c r="O9" i="3"/>
  <c r="O4" i="3" s="1"/>
  <c r="J10" i="3"/>
  <c r="K10" i="3" s="1"/>
  <c r="J9" i="3"/>
  <c r="K9" i="3" s="1"/>
  <c r="H25" i="1"/>
  <c r="F6" i="1"/>
  <c r="F27" i="1"/>
  <c r="H27" i="1" s="1"/>
  <c r="F26" i="1"/>
  <c r="P4" i="3" l="1"/>
  <c r="Q3" i="3"/>
  <c r="F27" i="6"/>
  <c r="B29" i="6"/>
  <c r="B35" i="6" s="1"/>
  <c r="G7" i="6" s="1"/>
  <c r="J16" i="1"/>
  <c r="B12" i="1" s="1"/>
  <c r="B18" i="6"/>
  <c r="F22" i="6" s="1"/>
  <c r="AA11" i="4"/>
  <c r="R22" i="4"/>
  <c r="R23" i="4" s="1"/>
  <c r="R9" i="4" s="1"/>
  <c r="AA14" i="4"/>
  <c r="W14" i="4"/>
  <c r="V45" i="4"/>
  <c r="V36" i="4" s="1"/>
  <c r="F9" i="4"/>
  <c r="F10" i="4" s="1"/>
  <c r="F11" i="4" s="1"/>
  <c r="F30" i="4"/>
  <c r="E8" i="4"/>
  <c r="V23" i="4"/>
  <c r="V25" i="4" s="1"/>
  <c r="W11" i="4" s="1"/>
  <c r="N24" i="4"/>
  <c r="N26" i="4"/>
  <c r="N12" i="4" s="1"/>
  <c r="N22" i="4"/>
  <c r="N23" i="4" s="1"/>
  <c r="N9" i="4" s="1"/>
  <c r="N30" i="4"/>
  <c r="R25" i="4"/>
  <c r="J30" i="4"/>
  <c r="R24" i="4"/>
  <c r="R26" i="4"/>
  <c r="R12" i="4" s="1"/>
  <c r="N25" i="4"/>
  <c r="R30" i="4"/>
  <c r="J9" i="4"/>
  <c r="J27" i="4"/>
  <c r="J29" i="4" s="1"/>
  <c r="K14" i="4" s="1"/>
  <c r="R35" i="4"/>
  <c r="R34" i="4"/>
  <c r="R32" i="4"/>
  <c r="R33" i="4"/>
  <c r="N35" i="4"/>
  <c r="N34" i="4"/>
  <c r="O20" i="4" s="1"/>
  <c r="N33" i="4"/>
  <c r="N32" i="4"/>
  <c r="O18" i="4" s="1"/>
  <c r="J35" i="4"/>
  <c r="J34" i="4"/>
  <c r="J33" i="4"/>
  <c r="J32" i="4"/>
  <c r="K18" i="4" s="1"/>
  <c r="J19" i="3"/>
  <c r="F28" i="1"/>
  <c r="H26" i="1"/>
  <c r="H28" i="1" s="1"/>
  <c r="B11" i="2" l="1"/>
  <c r="B13" i="2" s="1"/>
  <c r="N5" i="1" s="1"/>
  <c r="N6" i="1" s="1"/>
  <c r="N7" i="1" s="1"/>
  <c r="F13" i="4"/>
  <c r="F36" i="4"/>
  <c r="G8" i="6"/>
  <c r="F28" i="6"/>
  <c r="G27" i="6" s="1"/>
  <c r="R27" i="4"/>
  <c r="R29" i="4" s="1"/>
  <c r="S14" i="4" s="1"/>
  <c r="F16" i="1"/>
  <c r="J25" i="1" s="1"/>
  <c r="K25" i="1" s="1"/>
  <c r="B10" i="3"/>
  <c r="B12" i="3" s="1"/>
  <c r="F4" i="3" s="1"/>
  <c r="F5" i="3" s="1"/>
  <c r="F4" i="2"/>
  <c r="J3" i="2"/>
  <c r="V6" i="4"/>
  <c r="V49" i="4" s="1"/>
  <c r="F23" i="6"/>
  <c r="F4" i="6" s="1"/>
  <c r="F5" i="6" s="1"/>
  <c r="Z6" i="4"/>
  <c r="K20" i="4"/>
  <c r="N27" i="4"/>
  <c r="N29" i="4" s="1"/>
  <c r="O14" i="4" s="1"/>
  <c r="S20" i="4"/>
  <c r="J10" i="4"/>
  <c r="J11" i="4" s="1"/>
  <c r="S18" i="4"/>
  <c r="J27" i="1" l="1"/>
  <c r="K27" i="1" s="1"/>
  <c r="J26" i="1"/>
  <c r="K26" i="1" s="1"/>
  <c r="V35" i="4"/>
  <c r="V37" i="4" s="1"/>
  <c r="W12" i="4" s="1"/>
  <c r="V50" i="4"/>
  <c r="V8" i="4" s="1"/>
  <c r="J13" i="4"/>
  <c r="J36" i="4"/>
  <c r="F10" i="2"/>
  <c r="F19" i="2"/>
  <c r="F20" i="2" s="1"/>
  <c r="Z50" i="4"/>
  <c r="Z8" i="4" s="1"/>
  <c r="Z35" i="4"/>
  <c r="Z37" i="4" s="1"/>
  <c r="AA12" i="4" s="1"/>
  <c r="Z49" i="4"/>
  <c r="N10" i="4"/>
  <c r="N11" i="4" s="1"/>
  <c r="K28" i="1"/>
  <c r="F7" i="1" s="1"/>
  <c r="Z10" i="4" l="1"/>
  <c r="Z31" i="4"/>
  <c r="V10" i="4"/>
  <c r="V31" i="4"/>
  <c r="N13" i="4"/>
  <c r="N36" i="4"/>
  <c r="F21" i="2"/>
  <c r="F24" i="2"/>
  <c r="G24" i="2" s="1"/>
  <c r="R10" i="4"/>
  <c r="R11" i="4" s="1"/>
  <c r="E8" i="1"/>
  <c r="F17" i="1"/>
  <c r="F18" i="1" l="1"/>
  <c r="F20" i="1"/>
  <c r="F21" i="1" s="1"/>
  <c r="R13" i="4"/>
  <c r="R36" i="4"/>
  <c r="N16" i="3"/>
  <c r="F25" i="2"/>
  <c r="F28" i="2" s="1"/>
  <c r="F29" i="2" s="1"/>
  <c r="J18" i="2"/>
  <c r="F22" i="2"/>
  <c r="G22" i="2" s="1"/>
  <c r="F31" i="2"/>
  <c r="F5" i="2" s="1"/>
  <c r="F32" i="2" l="1"/>
  <c r="F6" i="2"/>
  <c r="N17" i="3"/>
  <c r="F30" i="2"/>
  <c r="G30" i="2" s="1"/>
  <c r="J19" i="2"/>
  <c r="J20" i="3" s="1"/>
  <c r="J4" i="2" l="1"/>
  <c r="J5" i="2" s="1"/>
  <c r="J7" i="2" s="1"/>
  <c r="J10" i="2" s="1"/>
  <c r="J11" i="2" s="1"/>
  <c r="N18" i="3"/>
  <c r="N19" i="3" s="1"/>
  <c r="Q18" i="3" s="1"/>
  <c r="S18" i="3" s="1"/>
  <c r="S38" i="3" s="1"/>
  <c r="S41" i="3" s="1"/>
  <c r="P21" i="3" s="1"/>
  <c r="K19" i="3"/>
  <c r="I21" i="3" s="1"/>
</calcChain>
</file>

<file path=xl/sharedStrings.xml><?xml version="1.0" encoding="utf-8"?>
<sst xmlns="http://schemas.openxmlformats.org/spreadsheetml/2006/main" count="1256" uniqueCount="439">
  <si>
    <t>Datos Arq</t>
  </si>
  <si>
    <t>L1</t>
  </si>
  <si>
    <t>L2</t>
  </si>
  <si>
    <t>L3</t>
  </si>
  <si>
    <t>L4</t>
  </si>
  <si>
    <t>m</t>
  </si>
  <si>
    <t>Pisos</t>
  </si>
  <si>
    <t>u</t>
  </si>
  <si>
    <t>He</t>
  </si>
  <si>
    <t>Losa</t>
  </si>
  <si>
    <t>Lmax</t>
  </si>
  <si>
    <t>hmin</t>
  </si>
  <si>
    <t>cm</t>
  </si>
  <si>
    <t>Datos losa</t>
  </si>
  <si>
    <t>Hl</t>
  </si>
  <si>
    <t>bn</t>
  </si>
  <si>
    <t>bb</t>
  </si>
  <si>
    <t>L total</t>
  </si>
  <si>
    <t>Imin</t>
  </si>
  <si>
    <t>cm4</t>
  </si>
  <si>
    <t>A</t>
  </si>
  <si>
    <t>tc</t>
  </si>
  <si>
    <t>y</t>
  </si>
  <si>
    <t>Ay</t>
  </si>
  <si>
    <t>cg</t>
  </si>
  <si>
    <t>Io</t>
  </si>
  <si>
    <t>d2</t>
  </si>
  <si>
    <t>It</t>
  </si>
  <si>
    <t>I losa</t>
  </si>
  <si>
    <t>Viga int</t>
  </si>
  <si>
    <t>L real</t>
  </si>
  <si>
    <t>Paredes</t>
  </si>
  <si>
    <t>Alivian</t>
  </si>
  <si>
    <t>t/m2</t>
  </si>
  <si>
    <t>Cm</t>
  </si>
  <si>
    <t>V total</t>
  </si>
  <si>
    <t>m3</t>
  </si>
  <si>
    <t>V bloq</t>
  </si>
  <si>
    <t>V horm</t>
  </si>
  <si>
    <t>Peso</t>
  </si>
  <si>
    <t>t</t>
  </si>
  <si>
    <t>Area</t>
  </si>
  <si>
    <t>m2</t>
  </si>
  <si>
    <t>P horm</t>
  </si>
  <si>
    <t>h equival</t>
  </si>
  <si>
    <t>L max</t>
  </si>
  <si>
    <t>Pesado</t>
  </si>
  <si>
    <t>Viga</t>
  </si>
  <si>
    <t>Lv</t>
  </si>
  <si>
    <t>Lt</t>
  </si>
  <si>
    <t>Mdis</t>
  </si>
  <si>
    <t>Uso</t>
  </si>
  <si>
    <t>Vivienda</t>
  </si>
  <si>
    <t>Cv</t>
  </si>
  <si>
    <t>Cu</t>
  </si>
  <si>
    <t>t-m</t>
  </si>
  <si>
    <t>Mres</t>
  </si>
  <si>
    <t>D/C</t>
  </si>
  <si>
    <t>Datos viga</t>
  </si>
  <si>
    <t>b</t>
  </si>
  <si>
    <t>rec</t>
  </si>
  <si>
    <t>fc</t>
  </si>
  <si>
    <t>kg/cm2</t>
  </si>
  <si>
    <t>fy</t>
  </si>
  <si>
    <t>hdef</t>
  </si>
  <si>
    <t>rel</t>
  </si>
  <si>
    <t>d</t>
  </si>
  <si>
    <t>Asmin</t>
  </si>
  <si>
    <t>cm2</t>
  </si>
  <si>
    <t>fi</t>
  </si>
  <si>
    <t>mm</t>
  </si>
  <si>
    <t>Ab</t>
  </si>
  <si>
    <t>Num</t>
  </si>
  <si>
    <t>As(-)</t>
  </si>
  <si>
    <t>As total</t>
  </si>
  <si>
    <t>sep</t>
  </si>
  <si>
    <t>As(+)</t>
  </si>
  <si>
    <t>a</t>
  </si>
  <si>
    <t>pb</t>
  </si>
  <si>
    <t>Z sismica</t>
  </si>
  <si>
    <t>Alta</t>
  </si>
  <si>
    <t>pmax</t>
  </si>
  <si>
    <t>Cuant</t>
  </si>
  <si>
    <t>Cortante</t>
  </si>
  <si>
    <t>Mpr(-)</t>
  </si>
  <si>
    <t>Mpr(+)</t>
  </si>
  <si>
    <t>Vug</t>
  </si>
  <si>
    <t>Vum</t>
  </si>
  <si>
    <t>Vu</t>
  </si>
  <si>
    <t>Vc</t>
  </si>
  <si>
    <t>Vs</t>
  </si>
  <si>
    <t>s</t>
  </si>
  <si>
    <t>smax</t>
  </si>
  <si>
    <t>Zprot</t>
  </si>
  <si>
    <t>Z centrl</t>
  </si>
  <si>
    <t>Lmax vol</t>
  </si>
  <si>
    <t>Calculos</t>
  </si>
  <si>
    <t>At</t>
  </si>
  <si>
    <t>Pult</t>
  </si>
  <si>
    <t>fm</t>
  </si>
  <si>
    <t>Ag nec</t>
  </si>
  <si>
    <t>Datos de col</t>
  </si>
  <si>
    <t>ancho</t>
  </si>
  <si>
    <t>prof</t>
  </si>
  <si>
    <t>var a</t>
  </si>
  <si>
    <t>var p</t>
  </si>
  <si>
    <t xml:space="preserve">fi esq </t>
  </si>
  <si>
    <t>fi long</t>
  </si>
  <si>
    <t>fi est</t>
  </si>
  <si>
    <t xml:space="preserve">sep </t>
  </si>
  <si>
    <t>vinch</t>
  </si>
  <si>
    <t>Num var</t>
  </si>
  <si>
    <t>As</t>
  </si>
  <si>
    <t>Chequeos</t>
  </si>
  <si>
    <t>ac</t>
  </si>
  <si>
    <t>pc</t>
  </si>
  <si>
    <t>Ac</t>
  </si>
  <si>
    <t>sep a</t>
  </si>
  <si>
    <t>sep b</t>
  </si>
  <si>
    <t>Confinamiento</t>
  </si>
  <si>
    <t>Ash</t>
  </si>
  <si>
    <t>vinc</t>
  </si>
  <si>
    <t>sep max</t>
  </si>
  <si>
    <t>M</t>
  </si>
  <si>
    <t>P</t>
  </si>
  <si>
    <t>c</t>
  </si>
  <si>
    <t>d'</t>
  </si>
  <si>
    <t>CF - VD</t>
  </si>
  <si>
    <t>∑Mcol</t>
  </si>
  <si>
    <t>∑Mvig</t>
  </si>
  <si>
    <t>NF - VD</t>
  </si>
  <si>
    <t>T1</t>
  </si>
  <si>
    <t>T2</t>
  </si>
  <si>
    <t>Vcol</t>
  </si>
  <si>
    <t>Vj</t>
  </si>
  <si>
    <t>INT</t>
  </si>
  <si>
    <t>MED</t>
  </si>
  <si>
    <t>ESQ</t>
  </si>
  <si>
    <t>Tipo col</t>
  </si>
  <si>
    <t>Cond</t>
  </si>
  <si>
    <t>Bb</t>
  </si>
  <si>
    <r>
      <t xml:space="preserve">a </t>
    </r>
    <r>
      <rPr>
        <sz val="11"/>
        <color theme="1"/>
        <rFont val="Aptos Narrow"/>
        <family val="2"/>
      </rPr>
      <t>def</t>
    </r>
  </si>
  <si>
    <t>Vn</t>
  </si>
  <si>
    <t>Condiciones</t>
  </si>
  <si>
    <t>Act</t>
  </si>
  <si>
    <t>Res</t>
  </si>
  <si>
    <t>Vhz</t>
  </si>
  <si>
    <t>Vvt</t>
  </si>
  <si>
    <t>Adh</t>
  </si>
  <si>
    <t>bcol</t>
  </si>
  <si>
    <t>Viga Sec</t>
  </si>
  <si>
    <t>Cuad 1</t>
  </si>
  <si>
    <t>at</t>
  </si>
  <si>
    <t>Wt</t>
  </si>
  <si>
    <t>wr</t>
  </si>
  <si>
    <t>t/m</t>
  </si>
  <si>
    <t>Mult</t>
  </si>
  <si>
    <t>Datos de viga</t>
  </si>
  <si>
    <t>bf</t>
  </si>
  <si>
    <t>tf</t>
  </si>
  <si>
    <t>h</t>
  </si>
  <si>
    <t>tw</t>
  </si>
  <si>
    <t>kg/m</t>
  </si>
  <si>
    <t>Ix</t>
  </si>
  <si>
    <t>Iy</t>
  </si>
  <si>
    <t>Zx</t>
  </si>
  <si>
    <t>cm3</t>
  </si>
  <si>
    <t>ry</t>
  </si>
  <si>
    <t>ksi</t>
  </si>
  <si>
    <t>cf1</t>
  </si>
  <si>
    <t>cf2</t>
  </si>
  <si>
    <t>cw1</t>
  </si>
  <si>
    <t>cw2</t>
  </si>
  <si>
    <t>Cte</t>
  </si>
  <si>
    <t>Lp</t>
  </si>
  <si>
    <t>Lb</t>
  </si>
  <si>
    <t>Apoyo</t>
  </si>
  <si>
    <t>Cuad 2</t>
  </si>
  <si>
    <t>Cuad 3</t>
  </si>
  <si>
    <t>Cuad 4</t>
  </si>
  <si>
    <t>DSR</t>
  </si>
  <si>
    <t>ETABS</t>
  </si>
  <si>
    <t>CIMENT</t>
  </si>
  <si>
    <t>SAFE</t>
  </si>
  <si>
    <t>MET</t>
  </si>
  <si>
    <t>CONEX</t>
  </si>
  <si>
    <t>REF EST</t>
  </si>
  <si>
    <t>ANL</t>
  </si>
  <si>
    <t>EST ESP</t>
  </si>
  <si>
    <t>PUENT M1</t>
  </si>
  <si>
    <t>PUNET M2</t>
  </si>
  <si>
    <t>PUENT ESP</t>
  </si>
  <si>
    <t>EDI DIS SIM</t>
  </si>
  <si>
    <t>C 2P</t>
  </si>
  <si>
    <t>PRESF</t>
  </si>
  <si>
    <t>593 991139483</t>
  </si>
  <si>
    <t>VIGAS PRINCIPALES</t>
  </si>
  <si>
    <t>Viga Izq</t>
  </si>
  <si>
    <t>Vp</t>
  </si>
  <si>
    <t xml:space="preserve">Num </t>
  </si>
  <si>
    <t>Pi</t>
  </si>
  <si>
    <t>ART</t>
  </si>
  <si>
    <t>EMP</t>
  </si>
  <si>
    <t>Tipo</t>
  </si>
  <si>
    <t>Apoyo lat</t>
  </si>
  <si>
    <t>Ry</t>
  </si>
  <si>
    <t>Mpr</t>
  </si>
  <si>
    <t>h/tw</t>
  </si>
  <si>
    <t>cv1</t>
  </si>
  <si>
    <t>cv2</t>
  </si>
  <si>
    <t>Viga der</t>
  </si>
  <si>
    <t>sidec 9</t>
  </si>
  <si>
    <t>Pu</t>
  </si>
  <si>
    <t>Pres</t>
  </si>
  <si>
    <t>e</t>
  </si>
  <si>
    <t>Zy</t>
  </si>
  <si>
    <t>rx</t>
  </si>
  <si>
    <t>cte</t>
  </si>
  <si>
    <t>E</t>
  </si>
  <si>
    <t>esbx</t>
  </si>
  <si>
    <t>esby</t>
  </si>
  <si>
    <t>fex</t>
  </si>
  <si>
    <t>fey</t>
  </si>
  <si>
    <t>Pres x</t>
  </si>
  <si>
    <t>Pres y</t>
  </si>
  <si>
    <t>https://www.youtube.com/@EdisonChavez-Ingenieria/videos</t>
  </si>
  <si>
    <t>RELLENO DE HORMIGON</t>
  </si>
  <si>
    <t>SI</t>
  </si>
  <si>
    <t>Ca</t>
  </si>
  <si>
    <t>Sin Hormigon</t>
  </si>
  <si>
    <t>SISM</t>
  </si>
  <si>
    <t>COMP</t>
  </si>
  <si>
    <t>Con Hormigon</t>
  </si>
  <si>
    <t>Definitivo</t>
  </si>
  <si>
    <t>Atiezadores</t>
  </si>
  <si>
    <t>Sentido b</t>
  </si>
  <si>
    <t>l</t>
  </si>
  <si>
    <t>Ia</t>
  </si>
  <si>
    <t>Sentido h</t>
  </si>
  <si>
    <t>emin</t>
  </si>
  <si>
    <t>fym</t>
  </si>
  <si>
    <t>Accon</t>
  </si>
  <si>
    <t>Coef Ec</t>
  </si>
  <si>
    <t>Ec</t>
  </si>
  <si>
    <t>Em</t>
  </si>
  <si>
    <t>Stabla</t>
  </si>
  <si>
    <t>IPN</t>
  </si>
  <si>
    <t>C50</t>
  </si>
  <si>
    <t>var x</t>
  </si>
  <si>
    <t>var y</t>
  </si>
  <si>
    <t>fi esq</t>
  </si>
  <si>
    <t>fi l</t>
  </si>
  <si>
    <t>C30X40</t>
  </si>
  <si>
    <t>C40X30</t>
  </si>
  <si>
    <t>Plosa eq</t>
  </si>
  <si>
    <t>P etabs</t>
  </si>
  <si>
    <t>DATOS SIIMICOS</t>
  </si>
  <si>
    <t>I</t>
  </si>
  <si>
    <t xml:space="preserve"> fi p</t>
  </si>
  <si>
    <t>fi e</t>
  </si>
  <si>
    <t>R</t>
  </si>
  <si>
    <t>n</t>
  </si>
  <si>
    <t>Z</t>
  </si>
  <si>
    <t xml:space="preserve">Fa  </t>
  </si>
  <si>
    <t xml:space="preserve">Fd </t>
  </si>
  <si>
    <t>Fs</t>
  </si>
  <si>
    <t>r</t>
  </si>
  <si>
    <t>Tc</t>
  </si>
  <si>
    <t>T</t>
  </si>
  <si>
    <t>Sa</t>
  </si>
  <si>
    <t>T f</t>
  </si>
  <si>
    <t>x</t>
  </si>
  <si>
    <t>Coef</t>
  </si>
  <si>
    <t>Saine</t>
  </si>
  <si>
    <t>Deriva x</t>
  </si>
  <si>
    <t>elas</t>
  </si>
  <si>
    <t>inel</t>
  </si>
  <si>
    <t>Deriva Y</t>
  </si>
  <si>
    <t>Calculos Met</t>
  </si>
  <si>
    <t>Calculos Horm</t>
  </si>
  <si>
    <t>Label</t>
  </si>
  <si>
    <t>Unique Name</t>
  </si>
  <si>
    <t>FZ</t>
  </si>
  <si>
    <t>MX</t>
  </si>
  <si>
    <t>MY</t>
  </si>
  <si>
    <t>1</t>
  </si>
  <si>
    <t>3</t>
  </si>
  <si>
    <t>2</t>
  </si>
  <si>
    <t>6</t>
  </si>
  <si>
    <t>9</t>
  </si>
  <si>
    <t>4</t>
  </si>
  <si>
    <t>12</t>
  </si>
  <si>
    <t>5</t>
  </si>
  <si>
    <t>26</t>
  </si>
  <si>
    <t>27</t>
  </si>
  <si>
    <t>7</t>
  </si>
  <si>
    <t>19</t>
  </si>
  <si>
    <t>8</t>
  </si>
  <si>
    <t>22</t>
  </si>
  <si>
    <t>25</t>
  </si>
  <si>
    <t>11</t>
  </si>
  <si>
    <t>33</t>
  </si>
  <si>
    <t>13</t>
  </si>
  <si>
    <t>39</t>
  </si>
  <si>
    <t>16</t>
  </si>
  <si>
    <t>45</t>
  </si>
  <si>
    <t>qa</t>
  </si>
  <si>
    <t>Ps</t>
  </si>
  <si>
    <t>Ms</t>
  </si>
  <si>
    <t>P1</t>
  </si>
  <si>
    <t>P2</t>
  </si>
  <si>
    <t>P3</t>
  </si>
  <si>
    <t>P4</t>
  </si>
  <si>
    <t>L</t>
  </si>
  <si>
    <t>vol</t>
  </si>
  <si>
    <t>Hp</t>
  </si>
  <si>
    <t>Acim</t>
  </si>
  <si>
    <t>q1</t>
  </si>
  <si>
    <t>Mu</t>
  </si>
  <si>
    <t>Mplint</t>
  </si>
  <si>
    <t>As cal</t>
  </si>
  <si>
    <t>As def</t>
  </si>
  <si>
    <t>Df</t>
  </si>
  <si>
    <t>Ld</t>
  </si>
  <si>
    <t>Patas</t>
  </si>
  <si>
    <t>Exc</t>
  </si>
  <si>
    <t>Horm</t>
  </si>
  <si>
    <t>kg</t>
  </si>
  <si>
    <t>gancho</t>
  </si>
  <si>
    <t>P. unit</t>
  </si>
  <si>
    <t>$/m3</t>
  </si>
  <si>
    <t>$/kg</t>
  </si>
  <si>
    <t>P final</t>
  </si>
  <si>
    <t>total</t>
  </si>
  <si>
    <t>P/m2</t>
  </si>
  <si>
    <t>VIGA A FLEXION</t>
  </si>
  <si>
    <t xml:space="preserve">AREAS EN PLANTA </t>
  </si>
  <si>
    <t>AREAS EN PLANTA BLOQUE 2</t>
  </si>
  <si>
    <t>UBICACION</t>
  </si>
  <si>
    <t>U</t>
  </si>
  <si>
    <t>AREA</t>
  </si>
  <si>
    <t>CANTIDAD</t>
  </si>
  <si>
    <t>TOTAL</t>
  </si>
  <si>
    <t>Lt1</t>
  </si>
  <si>
    <t>Lt2</t>
  </si>
  <si>
    <t>LOSA N +0,00</t>
  </si>
  <si>
    <t>LOSA N +3.50</t>
  </si>
  <si>
    <t>kg/m2</t>
  </si>
  <si>
    <t>LOSA N +7.00</t>
  </si>
  <si>
    <t>Wu</t>
  </si>
  <si>
    <t>LOSA N +10.50</t>
  </si>
  <si>
    <t>Wr</t>
  </si>
  <si>
    <t>LOSA N +14.00</t>
  </si>
  <si>
    <t>kg-cm</t>
  </si>
  <si>
    <t>Área Total</t>
  </si>
  <si>
    <t>BLOQUE 2</t>
  </si>
  <si>
    <t>PESO DE MAMPOSTERIAS</t>
  </si>
  <si>
    <t>Área de edificación</t>
  </si>
  <si>
    <t>factor de incidencia</t>
  </si>
  <si>
    <t>m2/m2</t>
  </si>
  <si>
    <t>Espesor de mampostería</t>
  </si>
  <si>
    <t>Volumen de mampostería</t>
  </si>
  <si>
    <t xml:space="preserve">Peso volumétrico </t>
  </si>
  <si>
    <t>kg/m3</t>
  </si>
  <si>
    <t>Peso total de mampostería</t>
  </si>
  <si>
    <t>Peso de Mampostería</t>
  </si>
  <si>
    <t>CARGA MUERTA</t>
  </si>
  <si>
    <t>Peso de loseta de 10 cm</t>
  </si>
  <si>
    <t>Mamposterías</t>
  </si>
  <si>
    <t>Recubrimientos</t>
  </si>
  <si>
    <t>Instalaciones</t>
  </si>
  <si>
    <t>LOSA N +6.50</t>
  </si>
  <si>
    <t>Peso propio losa 10 cm</t>
  </si>
  <si>
    <t>COEFICIENTES PARA ESPECTRO DE RESPUESTAS</t>
  </si>
  <si>
    <t>Sa ine</t>
  </si>
  <si>
    <t>Zona sísmica</t>
  </si>
  <si>
    <t>V</t>
  </si>
  <si>
    <t>Tabla 1</t>
  </si>
  <si>
    <t>Valor Factor Z</t>
  </si>
  <si>
    <t>Tipo de suelo</t>
  </si>
  <si>
    <t>D</t>
  </si>
  <si>
    <t>Estudio</t>
  </si>
  <si>
    <r>
      <t xml:space="preserve">Coeficiente de ampliación de suelo en la zona de periodo corto  </t>
    </r>
    <r>
      <rPr>
        <b/>
        <sz val="9"/>
        <color indexed="8"/>
        <rFont val="Calibri"/>
        <family val="2"/>
      </rPr>
      <t>Fa</t>
    </r>
  </si>
  <si>
    <t>Tabla 3</t>
  </si>
  <si>
    <r>
      <t xml:space="preserve">Ampliación de las ordenadas del espectro elástico de respuesta de desplazamiento para diseño en roca  </t>
    </r>
    <r>
      <rPr>
        <b/>
        <sz val="9"/>
        <color indexed="8"/>
        <rFont val="Calibri"/>
        <family val="2"/>
      </rPr>
      <t>Fd</t>
    </r>
  </si>
  <si>
    <t>Tabla 4</t>
  </si>
  <si>
    <r>
      <t xml:space="preserve">Comportamiento no lineal de los suelos </t>
    </r>
    <r>
      <rPr>
        <b/>
        <sz val="9"/>
        <color indexed="8"/>
        <rFont val="Calibri"/>
        <family val="2"/>
      </rPr>
      <t>Fs</t>
    </r>
  </si>
  <si>
    <t>Tabla 5</t>
  </si>
  <si>
    <r>
      <t xml:space="preserve">Relación de amplificación espectral  </t>
    </r>
    <r>
      <rPr>
        <b/>
        <sz val="9"/>
        <color indexed="8"/>
        <rFont val="Calibri"/>
        <family val="2"/>
      </rPr>
      <t xml:space="preserve"> </t>
    </r>
    <r>
      <rPr>
        <b/>
        <sz val="9"/>
        <color indexed="8"/>
        <rFont val="Calibri"/>
        <family val="2"/>
      </rPr>
      <t>ɳ</t>
    </r>
  </si>
  <si>
    <t>Sección 3,3,1</t>
  </si>
  <si>
    <r>
      <t xml:space="preserve">Factor usado en el espectro de diseño elástico  </t>
    </r>
    <r>
      <rPr>
        <b/>
        <sz val="9"/>
        <color indexed="8"/>
        <rFont val="Calibri"/>
        <family val="2"/>
      </rPr>
      <t>r</t>
    </r>
  </si>
  <si>
    <r>
      <t xml:space="preserve">Periodo limite de vibración en el espectro elástico  </t>
    </r>
    <r>
      <rPr>
        <b/>
        <sz val="9"/>
        <color indexed="8"/>
        <rFont val="Calibri"/>
        <family val="2"/>
      </rPr>
      <t>Tc</t>
    </r>
  </si>
  <si>
    <t>FACTORES PARA LA REDUCCION DEL ESPECTRO</t>
  </si>
  <si>
    <r>
      <t xml:space="preserve">Factor de reducción de resistencia sísmica </t>
    </r>
    <r>
      <rPr>
        <b/>
        <sz val="9"/>
        <color indexed="8"/>
        <rFont val="Calibri"/>
        <family val="2"/>
      </rPr>
      <t>R</t>
    </r>
  </si>
  <si>
    <t>Sección 6,3,2</t>
  </si>
  <si>
    <r>
      <t xml:space="preserve">Coeficiente de configuración en planta </t>
    </r>
    <r>
      <rPr>
        <b/>
        <sz val="9"/>
        <color indexed="8"/>
        <rFont val="Calibri"/>
        <family val="2"/>
      </rPr>
      <t>ɸ p</t>
    </r>
  </si>
  <si>
    <r>
      <t xml:space="preserve">Coeficiente de configuración en elevación </t>
    </r>
    <r>
      <rPr>
        <b/>
        <sz val="9"/>
        <color indexed="8"/>
        <rFont val="Calibri"/>
        <family val="2"/>
      </rPr>
      <t>ɸ e</t>
    </r>
  </si>
  <si>
    <r>
      <t xml:space="preserve">Factor de Importancia de la estructura </t>
    </r>
    <r>
      <rPr>
        <b/>
        <sz val="9"/>
        <color indexed="8"/>
        <rFont val="Calibri"/>
        <family val="2"/>
      </rPr>
      <t xml:space="preserve"> I</t>
    </r>
  </si>
  <si>
    <t>Tabla 6</t>
  </si>
  <si>
    <t>PERIODO DE VIBRACION METODO 1</t>
  </si>
  <si>
    <t>Coeficiente que depende del tipo de edificio</t>
  </si>
  <si>
    <t>Sección 6,3,3</t>
  </si>
  <si>
    <t>Altura del edificio</t>
  </si>
  <si>
    <t>Planos</t>
  </si>
  <si>
    <r>
      <t xml:space="preserve">Factor </t>
    </r>
    <r>
      <rPr>
        <sz val="9"/>
        <color indexed="8"/>
        <rFont val="Calibri"/>
        <family val="2"/>
      </rPr>
      <t>α</t>
    </r>
  </si>
  <si>
    <t xml:space="preserve">T  Periodo de vibración </t>
  </si>
  <si>
    <t>Formula</t>
  </si>
  <si>
    <t>Aceleración Inelástica  SA ine</t>
  </si>
  <si>
    <t>Cuadro</t>
  </si>
  <si>
    <t>Valor k</t>
  </si>
  <si>
    <t>Seccion 6,3,5</t>
  </si>
  <si>
    <t>TABLE:  Modal Participating Mass Ratios</t>
  </si>
  <si>
    <t>Case</t>
  </si>
  <si>
    <t>Mode</t>
  </si>
  <si>
    <t>Period</t>
  </si>
  <si>
    <t>UX</t>
  </si>
  <si>
    <t>UY</t>
  </si>
  <si>
    <t>UZ</t>
  </si>
  <si>
    <t>SumUX</t>
  </si>
  <si>
    <t>SumUY</t>
  </si>
  <si>
    <t>SumUZ</t>
  </si>
  <si>
    <t>RX</t>
  </si>
  <si>
    <t>RY</t>
  </si>
  <si>
    <t>RZ</t>
  </si>
  <si>
    <t>SumRX</t>
  </si>
  <si>
    <t>SumRY</t>
  </si>
  <si>
    <t>SumRZ</t>
  </si>
  <si>
    <t/>
  </si>
  <si>
    <t>sec</t>
  </si>
  <si>
    <t>Modal</t>
  </si>
  <si>
    <t>10</t>
  </si>
  <si>
    <t>x1</t>
  </si>
  <si>
    <t>x2</t>
  </si>
  <si>
    <t>V prom</t>
  </si>
  <si>
    <t>Aum</t>
  </si>
  <si>
    <t>Val max</t>
  </si>
  <si>
    <t>Distorison SISMO X</t>
  </si>
  <si>
    <t>Nervio</t>
  </si>
  <si>
    <t>As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</si>
</sst>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"/>
  </numFmts>
  <fonts count="18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i/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theme="1"/>
      <name val="Symbol"/>
      <family val="1"/>
      <charset val="2"/>
    </font>
    <font>
      <b/>
      <i/>
      <sz val="1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name val="Aptos Narrow"/>
      <family val="2"/>
      <scheme val="minor"/>
    </font>
    <font>
      <sz val="10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name val="Arial"/>
      <family val="2"/>
    </font>
    <font>
      <b/>
      <sz val="9"/>
      <color indexed="8"/>
      <name val="Calibri"/>
      <family val="2"/>
    </font>
    <font>
      <sz val="9"/>
      <color theme="1"/>
      <name val="Calibri"/>
      <family val="2"/>
    </font>
    <font>
      <sz val="9"/>
      <color indexed="8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4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40">
    <xf numFmtId="0" fontId="0" fillId="0" borderId="0" xfId="0"/>
    <xf numFmtId="2" fontId="0" fillId="0" borderId="0" xfId="0" applyNumberFormat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2" fontId="1" fillId="5" borderId="1" xfId="0" applyNumberFormat="1" applyFont="1" applyFill="1" applyBorder="1" applyAlignment="1">
      <alignment horizontal="center"/>
    </xf>
    <xf numFmtId="164" fontId="1" fillId="5" borderId="1" xfId="0" applyNumberFormat="1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2" fontId="3" fillId="0" borderId="1" xfId="0" applyNumberFormat="1" applyFont="1" applyBorder="1" applyAlignment="1">
      <alignment horizontal="center"/>
    </xf>
    <xf numFmtId="2" fontId="0" fillId="6" borderId="1" xfId="0" applyNumberFormat="1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2" fontId="2" fillId="7" borderId="1" xfId="0" applyNumberFormat="1" applyFont="1" applyFill="1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2" fontId="2" fillId="4" borderId="1" xfId="0" applyNumberFormat="1" applyFont="1" applyFill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2" fontId="1" fillId="8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0" fillId="9" borderId="1" xfId="0" applyNumberFormat="1" applyFill="1" applyBorder="1" applyAlignment="1">
      <alignment horizontal="center"/>
    </xf>
    <xf numFmtId="2" fontId="0" fillId="0" borderId="0" xfId="0" applyNumberFormat="1"/>
    <xf numFmtId="2" fontId="0" fillId="0" borderId="0" xfId="0" applyNumberFormat="1" applyAlignment="1">
      <alignment horizontal="left"/>
    </xf>
    <xf numFmtId="1" fontId="1" fillId="8" borderId="1" xfId="0" applyNumberFormat="1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1" fontId="1" fillId="10" borderId="1" xfId="0" applyNumberFormat="1" applyFont="1" applyFill="1" applyBorder="1" applyAlignment="1">
      <alignment horizontal="center"/>
    </xf>
    <xf numFmtId="2" fontId="1" fillId="11" borderId="1" xfId="0" applyNumberFormat="1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165" fontId="1" fillId="5" borderId="1" xfId="0" applyNumberFormat="1" applyFont="1" applyFill="1" applyBorder="1" applyAlignment="1">
      <alignment horizontal="center"/>
    </xf>
    <xf numFmtId="2" fontId="1" fillId="0" borderId="0" xfId="0" applyNumberFormat="1" applyFont="1" applyAlignment="1">
      <alignment horizontal="center"/>
    </xf>
    <xf numFmtId="165" fontId="0" fillId="6" borderId="1" xfId="0" applyNumberFormat="1" applyFill="1" applyBorder="1" applyAlignment="1">
      <alignment horizontal="center"/>
    </xf>
    <xf numFmtId="2" fontId="1" fillId="2" borderId="0" xfId="0" applyNumberFormat="1" applyFont="1" applyFill="1" applyAlignment="1">
      <alignment horizontal="center"/>
    </xf>
    <xf numFmtId="10" fontId="2" fillId="4" borderId="1" xfId="1" applyNumberFormat="1" applyFont="1" applyFill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9" fillId="8" borderId="1" xfId="0" applyNumberFormat="1" applyFont="1" applyFill="1" applyBorder="1" applyAlignment="1">
      <alignment horizontal="center"/>
    </xf>
    <xf numFmtId="2" fontId="9" fillId="0" borderId="0" xfId="0" applyNumberFormat="1" applyFont="1" applyAlignment="1">
      <alignment horizontal="center"/>
    </xf>
    <xf numFmtId="10" fontId="2" fillId="0" borderId="0" xfId="1" applyNumberFormat="1" applyFont="1" applyFill="1" applyBorder="1" applyAlignment="1">
      <alignment horizontal="center"/>
    </xf>
    <xf numFmtId="49" fontId="8" fillId="12" borderId="7" xfId="0" applyNumberFormat="1" applyFont="1" applyFill="1" applyBorder="1" applyAlignment="1">
      <alignment horizontal="center"/>
    </xf>
    <xf numFmtId="0" fontId="8" fillId="12" borderId="7" xfId="0" applyFon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6" borderId="1" xfId="0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  <xf numFmtId="0" fontId="0" fillId="0" borderId="5" xfId="0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/>
    <xf numFmtId="0" fontId="11" fillId="13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2" fontId="12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2" fontId="10" fillId="0" borderId="1" xfId="0" applyNumberFormat="1" applyFont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2" fontId="11" fillId="0" borderId="5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1" fontId="10" fillId="0" borderId="1" xfId="0" applyNumberFormat="1" applyFont="1" applyBorder="1" applyAlignment="1">
      <alignment horizontal="center"/>
    </xf>
    <xf numFmtId="1" fontId="11" fillId="0" borderId="1" xfId="0" applyNumberFormat="1" applyFont="1" applyBorder="1" applyAlignment="1">
      <alignment horizontal="center"/>
    </xf>
    <xf numFmtId="0" fontId="13" fillId="13" borderId="1" xfId="0" applyFont="1" applyFill="1" applyBorder="1" applyAlignment="1">
      <alignment horizontal="center"/>
    </xf>
    <xf numFmtId="0" fontId="14" fillId="0" borderId="0" xfId="0" applyFont="1"/>
    <xf numFmtId="0" fontId="14" fillId="0" borderId="1" xfId="0" applyFont="1" applyBorder="1"/>
    <xf numFmtId="0" fontId="14" fillId="0" borderId="1" xfId="0" applyFont="1" applyBorder="1" applyAlignment="1">
      <alignment horizontal="center"/>
    </xf>
    <xf numFmtId="2" fontId="14" fillId="0" borderId="1" xfId="0" applyNumberFormat="1" applyFont="1" applyBorder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vertical="justify"/>
    </xf>
    <xf numFmtId="0" fontId="14" fillId="0" borderId="0" xfId="0" applyFont="1" applyAlignment="1">
      <alignment horizontal="center"/>
    </xf>
    <xf numFmtId="0" fontId="16" fillId="0" borderId="1" xfId="0" applyFont="1" applyBorder="1"/>
    <xf numFmtId="166" fontId="14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/>
    </xf>
    <xf numFmtId="49" fontId="8" fillId="12" borderId="1" xfId="0" applyNumberFormat="1" applyFont="1" applyFill="1" applyBorder="1" applyAlignment="1">
      <alignment horizontal="center"/>
    </xf>
    <xf numFmtId="0" fontId="8" fillId="12" borderId="1" xfId="0" applyFont="1" applyFill="1" applyBorder="1" applyAlignment="1">
      <alignment horizontal="center"/>
    </xf>
    <xf numFmtId="49" fontId="0" fillId="12" borderId="1" xfId="0" applyNumberFormat="1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2" fontId="1" fillId="0" borderId="2" xfId="0" applyNumberFormat="1" applyFont="1" applyBorder="1" applyAlignment="1">
      <alignment horizontal="center"/>
    </xf>
    <xf numFmtId="2" fontId="1" fillId="0" borderId="3" xfId="0" applyNumberFormat="1" applyFont="1" applyBorder="1" applyAlignment="1">
      <alignment horizontal="center"/>
    </xf>
    <xf numFmtId="2" fontId="1" fillId="0" borderId="4" xfId="0" applyNumberFormat="1" applyFont="1" applyBorder="1" applyAlignment="1">
      <alignment horizontal="center"/>
    </xf>
    <xf numFmtId="2" fontId="2" fillId="4" borderId="1" xfId="0" applyNumberFormat="1" applyFont="1" applyFill="1" applyBorder="1" applyAlignment="1">
      <alignment horizontal="center"/>
    </xf>
    <xf numFmtId="2" fontId="0" fillId="3" borderId="2" xfId="0" applyNumberFormat="1" applyFill="1" applyBorder="1" applyAlignment="1">
      <alignment horizontal="center"/>
    </xf>
    <xf numFmtId="2" fontId="0" fillId="3" borderId="4" xfId="0" applyNumberFormat="1" applyFill="1" applyBorder="1" applyAlignment="1">
      <alignment horizontal="center"/>
    </xf>
    <xf numFmtId="10" fontId="1" fillId="0" borderId="1" xfId="1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1" fillId="2" borderId="5" xfId="0" applyNumberFormat="1" applyFont="1" applyFill="1" applyBorder="1" applyAlignment="1">
      <alignment horizontal="center"/>
    </xf>
    <xf numFmtId="2" fontId="0" fillId="6" borderId="2" xfId="0" applyNumberFormat="1" applyFill="1" applyBorder="1" applyAlignment="1">
      <alignment horizontal="center"/>
    </xf>
    <xf numFmtId="2" fontId="0" fillId="6" borderId="4" xfId="0" applyNumberFormat="1" applyFill="1" applyBorder="1" applyAlignment="1">
      <alignment horizontal="center"/>
    </xf>
    <xf numFmtId="2" fontId="1" fillId="5" borderId="2" xfId="0" applyNumberFormat="1" applyFont="1" applyFill="1" applyBorder="1" applyAlignment="1">
      <alignment horizontal="center"/>
    </xf>
    <xf numFmtId="2" fontId="1" fillId="5" borderId="4" xfId="0" applyNumberFormat="1" applyFont="1" applyFill="1" applyBorder="1" applyAlignment="1">
      <alignment horizontal="center"/>
    </xf>
    <xf numFmtId="2" fontId="1" fillId="8" borderId="1" xfId="0" applyNumberFormat="1" applyFont="1" applyFill="1" applyBorder="1" applyAlignment="1">
      <alignment horizontal="center"/>
    </xf>
    <xf numFmtId="2" fontId="2" fillId="7" borderId="1" xfId="0" applyNumberFormat="1" applyFont="1" applyFill="1" applyBorder="1" applyAlignment="1">
      <alignment horizontal="center"/>
    </xf>
    <xf numFmtId="2" fontId="1" fillId="0" borderId="6" xfId="0" applyNumberFormat="1" applyFont="1" applyBorder="1" applyAlignment="1">
      <alignment horizontal="center" vertical="center"/>
    </xf>
    <xf numFmtId="2" fontId="1" fillId="0" borderId="5" xfId="0" applyNumberFormat="1" applyFont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/>
    </xf>
    <xf numFmtId="2" fontId="2" fillId="4" borderId="3" xfId="0" applyNumberFormat="1" applyFont="1" applyFill="1" applyBorder="1" applyAlignment="1">
      <alignment horizontal="center"/>
    </xf>
    <xf numFmtId="2" fontId="2" fillId="4" borderId="4" xfId="0" applyNumberFormat="1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0" borderId="3" xfId="0" applyBorder="1" applyAlignment="1">
      <alignment horizontal="center"/>
    </xf>
    <xf numFmtId="2" fontId="1" fillId="2" borderId="2" xfId="0" applyNumberFormat="1" applyFont="1" applyFill="1" applyBorder="1" applyAlignment="1">
      <alignment horizontal="center"/>
    </xf>
    <xf numFmtId="2" fontId="1" fillId="2" borderId="3" xfId="0" applyNumberFormat="1" applyFont="1" applyFill="1" applyBorder="1" applyAlignment="1">
      <alignment horizontal="center"/>
    </xf>
    <xf numFmtId="2" fontId="1" fillId="2" borderId="4" xfId="0" applyNumberFormat="1" applyFont="1" applyFill="1" applyBorder="1" applyAlignment="1">
      <alignment horizontal="center"/>
    </xf>
    <xf numFmtId="2" fontId="1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/>
    </xf>
    <xf numFmtId="2" fontId="1" fillId="0" borderId="5" xfId="0" applyNumberFormat="1" applyFont="1" applyBorder="1" applyAlignment="1">
      <alignment horizontal="center"/>
    </xf>
    <xf numFmtId="1" fontId="0" fillId="6" borderId="2" xfId="0" applyNumberFormat="1" applyFill="1" applyBorder="1" applyAlignment="1">
      <alignment horizontal="center"/>
    </xf>
    <xf numFmtId="1" fontId="0" fillId="6" borderId="4" xfId="0" applyNumberFormat="1" applyFill="1" applyBorder="1" applyAlignment="1">
      <alignment horizontal="center"/>
    </xf>
    <xf numFmtId="2" fontId="0" fillId="0" borderId="6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0" fontId="10" fillId="0" borderId="2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1" fillId="13" borderId="1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3" fillId="13" borderId="1" xfId="0" applyFont="1" applyFill="1" applyBorder="1" applyAlignment="1">
      <alignment horizontal="center"/>
    </xf>
    <xf numFmtId="49" fontId="8" fillId="14" borderId="1" xfId="0" applyNumberFormat="1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1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524718656743249"/>
          <c:y val="6.2202350088148249E-2"/>
          <c:w val="0.70667062165174566"/>
          <c:h val="0.91250443279448445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'COL horm'!$O$3:$O$5</c:f>
              <c:numCache>
                <c:formatCode>0.00</c:formatCode>
                <c:ptCount val="3"/>
                <c:pt idx="0">
                  <c:v>0</c:v>
                </c:pt>
                <c:pt idx="1">
                  <c:v>9.1215501299999993</c:v>
                </c:pt>
                <c:pt idx="2">
                  <c:v>0</c:v>
                </c:pt>
              </c:numCache>
            </c:numRef>
          </c:xVal>
          <c:yVal>
            <c:numRef>
              <c:f>'COL horm'!$P$3:$P$5</c:f>
              <c:numCache>
                <c:formatCode>0.00</c:formatCode>
                <c:ptCount val="3"/>
                <c:pt idx="0">
                  <c:v>197.0172288</c:v>
                </c:pt>
                <c:pt idx="1">
                  <c:v>65.672409599999995</c:v>
                </c:pt>
                <c:pt idx="2">
                  <c:v>-37.981439999999992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0C4-4C01-80A4-1855185B71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3265568"/>
        <c:axId val="1363266048"/>
      </c:scatterChart>
      <c:valAx>
        <c:axId val="1363265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63266048"/>
        <c:crosses val="autoZero"/>
        <c:crossBetween val="midCat"/>
      </c:valAx>
      <c:valAx>
        <c:axId val="1363266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63265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SISMICA!$O$2:$O$32</c:f>
              <c:numCache>
                <c:formatCode>0.00</c:formatCode>
                <c:ptCount val="3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</c:numCache>
            </c:numRef>
          </c:xVal>
          <c:yVal>
            <c:numRef>
              <c:f>SISMICA!$P$2:$P$32</c:f>
              <c:numCache>
                <c:formatCode>0.00</c:formatCode>
                <c:ptCount val="31"/>
                <c:pt idx="0">
                  <c:v>1.1903999999999999</c:v>
                </c:pt>
                <c:pt idx="1">
                  <c:v>1.1903999999999999</c:v>
                </c:pt>
                <c:pt idx="2">
                  <c:v>1.1903999999999999</c:v>
                </c:pt>
                <c:pt idx="3">
                  <c:v>1.1903999999999999</c:v>
                </c:pt>
                <c:pt idx="4">
                  <c:v>1.1903999999999999</c:v>
                </c:pt>
                <c:pt idx="5">
                  <c:v>1.1903999999999999</c:v>
                </c:pt>
                <c:pt idx="6">
                  <c:v>1.1903999999999999</c:v>
                </c:pt>
                <c:pt idx="7">
                  <c:v>1.1872256000000001</c:v>
                </c:pt>
                <c:pt idx="8">
                  <c:v>1.0388223999999999</c:v>
                </c:pt>
                <c:pt idx="9">
                  <c:v>0.92339768888888896</c:v>
                </c:pt>
                <c:pt idx="10">
                  <c:v>0.83105792000000001</c:v>
                </c:pt>
                <c:pt idx="11">
                  <c:v>0.75550720000000005</c:v>
                </c:pt>
                <c:pt idx="12">
                  <c:v>0.69254826666666669</c:v>
                </c:pt>
                <c:pt idx="13">
                  <c:v>0.63927532307692314</c:v>
                </c:pt>
                <c:pt idx="14">
                  <c:v>0.59361280000000005</c:v>
                </c:pt>
                <c:pt idx="15">
                  <c:v>0.55403861333333326</c:v>
                </c:pt>
                <c:pt idx="16">
                  <c:v>0.51941119999999996</c:v>
                </c:pt>
                <c:pt idx="17">
                  <c:v>0.4888576</c:v>
                </c:pt>
                <c:pt idx="18">
                  <c:v>0.46169884444444448</c:v>
                </c:pt>
                <c:pt idx="19">
                  <c:v>0.43739890526315794</c:v>
                </c:pt>
                <c:pt idx="20">
                  <c:v>0.41552896</c:v>
                </c:pt>
                <c:pt idx="21">
                  <c:v>0.39574186666666661</c:v>
                </c:pt>
                <c:pt idx="22">
                  <c:v>0.37775360000000002</c:v>
                </c:pt>
                <c:pt idx="23">
                  <c:v>0.36132953043478266</c:v>
                </c:pt>
                <c:pt idx="24">
                  <c:v>0.34627413333333334</c:v>
                </c:pt>
                <c:pt idx="25">
                  <c:v>0.33242316799999999</c:v>
                </c:pt>
                <c:pt idx="26">
                  <c:v>0.31963766153846157</c:v>
                </c:pt>
                <c:pt idx="27">
                  <c:v>0.30779922962962963</c:v>
                </c:pt>
                <c:pt idx="28">
                  <c:v>0.29680640000000003</c:v>
                </c:pt>
                <c:pt idx="29">
                  <c:v>0.28657169655172415</c:v>
                </c:pt>
                <c:pt idx="30">
                  <c:v>0.27701930666666663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F8B-440A-BC55-48F6F45110AB}"/>
            </c:ext>
          </c:extLst>
        </c:ser>
        <c:ser>
          <c:idx val="1"/>
          <c:order val="1"/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SISMICA!$U$3:$U$4</c:f>
              <c:numCache>
                <c:formatCode>0.00</c:formatCode>
                <c:ptCount val="2"/>
                <c:pt idx="0">
                  <c:v>0.45</c:v>
                </c:pt>
                <c:pt idx="1">
                  <c:v>0.45</c:v>
                </c:pt>
              </c:numCache>
            </c:numRef>
          </c:xVal>
          <c:yVal>
            <c:numRef>
              <c:f>SISMICA!$V$3:$V$4</c:f>
              <c:numCache>
                <c:formatCode>0.00</c:formatCode>
                <c:ptCount val="2"/>
                <c:pt idx="0">
                  <c:v>0</c:v>
                </c:pt>
                <c:pt idx="1">
                  <c:v>1.1903999999999999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F8B-440A-BC55-48F6F45110AB}"/>
            </c:ext>
          </c:extLst>
        </c:ser>
        <c:ser>
          <c:idx val="2"/>
          <c:order val="2"/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SISMICA!$U$6:$U$7</c:f>
              <c:numCache>
                <c:formatCode>0.00</c:formatCode>
                <c:ptCount val="2"/>
                <c:pt idx="0">
                  <c:v>0</c:v>
                </c:pt>
                <c:pt idx="1">
                  <c:v>0.45</c:v>
                </c:pt>
              </c:numCache>
            </c:numRef>
          </c:xVal>
          <c:yVal>
            <c:numRef>
              <c:f>SISMICA!$V$6:$V$7</c:f>
              <c:numCache>
                <c:formatCode>0.00</c:formatCode>
                <c:ptCount val="2"/>
                <c:pt idx="0">
                  <c:v>1.1903999999999999</c:v>
                </c:pt>
                <c:pt idx="1">
                  <c:v>1.1903999999999999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F8B-440A-BC55-48F6F45110AB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SISMICA!$O$2:$O$32</c:f>
              <c:numCache>
                <c:formatCode>0.00</c:formatCode>
                <c:ptCount val="3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</c:numCache>
            </c:numRef>
          </c:xVal>
          <c:yVal>
            <c:numRef>
              <c:f>SISMICA!$Q$2:$Q$32</c:f>
              <c:numCache>
                <c:formatCode>0.00</c:formatCode>
                <c:ptCount val="31"/>
                <c:pt idx="0">
                  <c:v>0.22044444444444442</c:v>
                </c:pt>
                <c:pt idx="1">
                  <c:v>0.22044444444444442</c:v>
                </c:pt>
                <c:pt idx="2">
                  <c:v>0.22044444444444442</c:v>
                </c:pt>
                <c:pt idx="3">
                  <c:v>0.22044444444444442</c:v>
                </c:pt>
                <c:pt idx="4">
                  <c:v>0.22044444444444442</c:v>
                </c:pt>
                <c:pt idx="5">
                  <c:v>0.22044444444444442</c:v>
                </c:pt>
                <c:pt idx="6">
                  <c:v>0.22044444444444442</c:v>
                </c:pt>
                <c:pt idx="7">
                  <c:v>0.2198565925925926</c:v>
                </c:pt>
                <c:pt idx="8">
                  <c:v>0.1923745185185185</c:v>
                </c:pt>
                <c:pt idx="9">
                  <c:v>0.1709995720164609</c:v>
                </c:pt>
                <c:pt idx="10">
                  <c:v>0.15389961481481482</c:v>
                </c:pt>
                <c:pt idx="11">
                  <c:v>0.13990874074074075</c:v>
                </c:pt>
                <c:pt idx="12">
                  <c:v>0.12824967901234569</c:v>
                </c:pt>
                <c:pt idx="13">
                  <c:v>0.11838431908831909</c:v>
                </c:pt>
                <c:pt idx="14">
                  <c:v>0.1099282962962963</c:v>
                </c:pt>
                <c:pt idx="15">
                  <c:v>0.10259974320987653</c:v>
                </c:pt>
                <c:pt idx="16">
                  <c:v>9.618725925925925E-2</c:v>
                </c:pt>
                <c:pt idx="17">
                  <c:v>9.0529185185185171E-2</c:v>
                </c:pt>
                <c:pt idx="18">
                  <c:v>8.5499786008230452E-2</c:v>
                </c:pt>
                <c:pt idx="19">
                  <c:v>8.0999797270955173E-2</c:v>
                </c:pt>
                <c:pt idx="20">
                  <c:v>7.6949807407407408E-2</c:v>
                </c:pt>
                <c:pt idx="21">
                  <c:v>7.3285530864197521E-2</c:v>
                </c:pt>
                <c:pt idx="22">
                  <c:v>6.9954370370370375E-2</c:v>
                </c:pt>
                <c:pt idx="23">
                  <c:v>6.6912876006441233E-2</c:v>
                </c:pt>
                <c:pt idx="24">
                  <c:v>6.4124839506172843E-2</c:v>
                </c:pt>
                <c:pt idx="25">
                  <c:v>6.1559845925925921E-2</c:v>
                </c:pt>
                <c:pt idx="26">
                  <c:v>5.9192159544159545E-2</c:v>
                </c:pt>
                <c:pt idx="27">
                  <c:v>5.6999857338820299E-2</c:v>
                </c:pt>
                <c:pt idx="28">
                  <c:v>5.4964148148148151E-2</c:v>
                </c:pt>
                <c:pt idx="29">
                  <c:v>5.3068832694763729E-2</c:v>
                </c:pt>
                <c:pt idx="30">
                  <c:v>5.1299871604938263E-2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F8B-440A-BC55-48F6F45110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7623312"/>
        <c:axId val="947607472"/>
      </c:scatterChart>
      <c:valAx>
        <c:axId val="947623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47607472"/>
        <c:crosses val="autoZero"/>
        <c:crossBetween val="midCat"/>
      </c:valAx>
      <c:valAx>
        <c:axId val="947607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47623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[1]SISMICA!$D$3:$D$33</c:f>
              <c:numCache>
                <c:formatCode>General</c:formatCode>
                <c:ptCount val="3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</c:numCache>
            </c:numRef>
          </c:xVal>
          <c:yVal>
            <c:numRef>
              <c:f>[1]SISMICA!$E$3:$E$33</c:f>
              <c:numCache>
                <c:formatCode>0.00</c:formatCode>
                <c:ptCount val="31"/>
                <c:pt idx="0">
                  <c:v>1.1903999999999999</c:v>
                </c:pt>
                <c:pt idx="1">
                  <c:v>1.1903999999999999</c:v>
                </c:pt>
                <c:pt idx="2">
                  <c:v>1.1903999999999999</c:v>
                </c:pt>
                <c:pt idx="3">
                  <c:v>1.1903999999999999</c:v>
                </c:pt>
                <c:pt idx="4">
                  <c:v>1.1903999999999999</c:v>
                </c:pt>
                <c:pt idx="5">
                  <c:v>1.1903999999999999</c:v>
                </c:pt>
                <c:pt idx="6">
                  <c:v>1.1903999999999999</c:v>
                </c:pt>
                <c:pt idx="7">
                  <c:v>1.1872256000000001</c:v>
                </c:pt>
                <c:pt idx="8">
                  <c:v>1.0388223999999999</c:v>
                </c:pt>
                <c:pt idx="9">
                  <c:v>0.92339768888888896</c:v>
                </c:pt>
                <c:pt idx="10">
                  <c:v>0.83105792000000001</c:v>
                </c:pt>
                <c:pt idx="11">
                  <c:v>0.75550720000000005</c:v>
                </c:pt>
                <c:pt idx="12">
                  <c:v>0.69254826666666669</c:v>
                </c:pt>
                <c:pt idx="13">
                  <c:v>0.63927532307692314</c:v>
                </c:pt>
                <c:pt idx="14">
                  <c:v>0.59361280000000005</c:v>
                </c:pt>
                <c:pt idx="15">
                  <c:v>0.55403861333333326</c:v>
                </c:pt>
                <c:pt idx="16">
                  <c:v>0.51941119999999996</c:v>
                </c:pt>
                <c:pt idx="17">
                  <c:v>0.4888576</c:v>
                </c:pt>
                <c:pt idx="18">
                  <c:v>0.46169884444444448</c:v>
                </c:pt>
                <c:pt idx="19">
                  <c:v>0.43739890526315794</c:v>
                </c:pt>
                <c:pt idx="20">
                  <c:v>0.41552896</c:v>
                </c:pt>
                <c:pt idx="21">
                  <c:v>0.39574186666666661</c:v>
                </c:pt>
                <c:pt idx="22">
                  <c:v>0.37775360000000002</c:v>
                </c:pt>
                <c:pt idx="23">
                  <c:v>0.36132953043478266</c:v>
                </c:pt>
                <c:pt idx="24">
                  <c:v>0.34627413333333334</c:v>
                </c:pt>
                <c:pt idx="25">
                  <c:v>0.33242316799999999</c:v>
                </c:pt>
                <c:pt idx="26">
                  <c:v>0.31963766153846157</c:v>
                </c:pt>
                <c:pt idx="27">
                  <c:v>0.30779922962962963</c:v>
                </c:pt>
                <c:pt idx="28">
                  <c:v>0.29680640000000003</c:v>
                </c:pt>
                <c:pt idx="29">
                  <c:v>0.28657169655172415</c:v>
                </c:pt>
                <c:pt idx="30">
                  <c:v>0.27701930666666663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E0A-4E92-8257-9E2E561F087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[1]SISMICA!$D$3:$D$33</c:f>
              <c:numCache>
                <c:formatCode>General</c:formatCode>
                <c:ptCount val="3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</c:numCache>
            </c:numRef>
          </c:xVal>
          <c:yVal>
            <c:numRef>
              <c:f>[1]SISMICA!$F$3:$F$33</c:f>
              <c:numCache>
                <c:formatCode>0.000</c:formatCode>
                <c:ptCount val="31"/>
                <c:pt idx="0">
                  <c:v>0.22044444444444442</c:v>
                </c:pt>
                <c:pt idx="1">
                  <c:v>0.22044444444444442</c:v>
                </c:pt>
                <c:pt idx="2">
                  <c:v>0.22044444444444442</c:v>
                </c:pt>
                <c:pt idx="3">
                  <c:v>0.22044444444444442</c:v>
                </c:pt>
                <c:pt idx="4">
                  <c:v>0.22044444444444442</c:v>
                </c:pt>
                <c:pt idx="5">
                  <c:v>0.22044444444444442</c:v>
                </c:pt>
                <c:pt idx="6">
                  <c:v>0.22044444444444442</c:v>
                </c:pt>
                <c:pt idx="7">
                  <c:v>0.2198565925925926</c:v>
                </c:pt>
                <c:pt idx="8">
                  <c:v>0.1923745185185185</c:v>
                </c:pt>
                <c:pt idx="9">
                  <c:v>0.1709995720164609</c:v>
                </c:pt>
                <c:pt idx="10">
                  <c:v>0.15389961481481482</c:v>
                </c:pt>
                <c:pt idx="11">
                  <c:v>0.13990874074074075</c:v>
                </c:pt>
                <c:pt idx="12">
                  <c:v>0.12824967901234569</c:v>
                </c:pt>
                <c:pt idx="13">
                  <c:v>0.11838431908831909</c:v>
                </c:pt>
                <c:pt idx="14">
                  <c:v>0.1099282962962963</c:v>
                </c:pt>
                <c:pt idx="15">
                  <c:v>0.10259974320987653</c:v>
                </c:pt>
                <c:pt idx="16">
                  <c:v>9.618725925925925E-2</c:v>
                </c:pt>
                <c:pt idx="17">
                  <c:v>9.0529185185185171E-2</c:v>
                </c:pt>
                <c:pt idx="18">
                  <c:v>8.5499786008230452E-2</c:v>
                </c:pt>
                <c:pt idx="19">
                  <c:v>8.0999797270955173E-2</c:v>
                </c:pt>
                <c:pt idx="20">
                  <c:v>7.6949807407407408E-2</c:v>
                </c:pt>
                <c:pt idx="21">
                  <c:v>7.3285530864197521E-2</c:v>
                </c:pt>
                <c:pt idx="22">
                  <c:v>6.9954370370370375E-2</c:v>
                </c:pt>
                <c:pt idx="23">
                  <c:v>6.6912876006441233E-2</c:v>
                </c:pt>
                <c:pt idx="24">
                  <c:v>6.4124839506172843E-2</c:v>
                </c:pt>
                <c:pt idx="25">
                  <c:v>6.1559845925925921E-2</c:v>
                </c:pt>
                <c:pt idx="26">
                  <c:v>5.9192159544159545E-2</c:v>
                </c:pt>
                <c:pt idx="27">
                  <c:v>5.6999857338820299E-2</c:v>
                </c:pt>
                <c:pt idx="28">
                  <c:v>5.4964148148148151E-2</c:v>
                </c:pt>
                <c:pt idx="29">
                  <c:v>5.3068832694763729E-2</c:v>
                </c:pt>
                <c:pt idx="30">
                  <c:v>5.1299871604938263E-2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E0A-4E92-8257-9E2E561F08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8419776"/>
        <c:axId val="1"/>
      </c:scatterChart>
      <c:valAx>
        <c:axId val="1518419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18419776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419099</xdr:colOff>
      <xdr:row>1</xdr:row>
      <xdr:rowOff>129540</xdr:rowOff>
    </xdr:from>
    <xdr:to>
      <xdr:col>8</xdr:col>
      <xdr:colOff>416258</xdr:colOff>
      <xdr:row>12</xdr:row>
      <xdr:rowOff>60960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E0181BB-687C-DF1A-6784-A73391961E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4059" y="312420"/>
          <a:ext cx="4752039" cy="1943100"/>
        </a:xfrm>
        <a:prstGeom prst="rect">
          <a:avLst/>
        </a:prstGeom>
      </xdr:spPr>
    </xdr:pic>
    <xdr:clientData/>
  </xdr:twoCellAnchor>
  <xdr:twoCellAnchor editAs="oneCell">
    <xdr:from>
      <xdr:col>2</xdr:col>
      <xdr:colOff>571500</xdr:colOff>
      <xdr:row>13</xdr:row>
      <xdr:rowOff>167640</xdr:rowOff>
    </xdr:from>
    <xdr:to>
      <xdr:col>7</xdr:col>
      <xdr:colOff>404189</xdr:colOff>
      <xdr:row>23</xdr:row>
      <xdr:rowOff>68730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407EE4A-4A72-1C89-9533-269FBC1CF7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56460" y="2545080"/>
          <a:ext cx="3795089" cy="1729890"/>
        </a:xfrm>
        <a:prstGeom prst="rect">
          <a:avLst/>
        </a:prstGeom>
      </xdr:spPr>
    </xdr:pic>
    <xdr:clientData/>
  </xdr:twoCellAnchor>
  <xdr:twoCellAnchor editAs="oneCell">
    <xdr:from>
      <xdr:col>8</xdr:col>
      <xdr:colOff>617220</xdr:colOff>
      <xdr:row>13</xdr:row>
      <xdr:rowOff>144780</xdr:rowOff>
    </xdr:from>
    <xdr:to>
      <xdr:col>13</xdr:col>
      <xdr:colOff>411806</xdr:colOff>
      <xdr:row>20</xdr:row>
      <xdr:rowOff>83926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6A3C414-D2E4-387E-489B-39E15368BE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7060" y="2522220"/>
          <a:ext cx="3756986" cy="121930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215322</xdr:colOff>
      <xdr:row>0</xdr:row>
      <xdr:rowOff>6927</xdr:rowOff>
    </xdr:from>
    <xdr:to>
      <xdr:col>22</xdr:col>
      <xdr:colOff>396932</xdr:colOff>
      <xdr:row>12</xdr:row>
      <xdr:rowOff>102177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E3DEFA4-11FB-84FE-1447-EDBE19BEF9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273171</xdr:colOff>
      <xdr:row>9</xdr:row>
      <xdr:rowOff>62345</xdr:rowOff>
    </xdr:from>
    <xdr:to>
      <xdr:col>40</xdr:col>
      <xdr:colOff>587603</xdr:colOff>
      <xdr:row>25</xdr:row>
      <xdr:rowOff>76200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34A38B8-0E76-737A-3507-6FDB03E21A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166807" y="1683327"/>
          <a:ext cx="7234778" cy="28956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539407</xdr:colOff>
      <xdr:row>19</xdr:row>
      <xdr:rowOff>143609</xdr:rowOff>
    </xdr:from>
    <xdr:to>
      <xdr:col>22</xdr:col>
      <xdr:colOff>677504</xdr:colOff>
      <xdr:row>34</xdr:row>
      <xdr:rowOff>61548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CE5BA2-9D8B-4493-9F18-9A58E8485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10427" y="3618329"/>
          <a:ext cx="2515537" cy="266113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492369</xdr:colOff>
      <xdr:row>0</xdr:row>
      <xdr:rowOff>155331</xdr:rowOff>
    </xdr:from>
    <xdr:to>
      <xdr:col>21</xdr:col>
      <xdr:colOff>199292</xdr:colOff>
      <xdr:row>15</xdr:row>
      <xdr:rowOff>128955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CF644D5-3E06-50D9-440B-9A004D66C8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62807</xdr:colOff>
      <xdr:row>0</xdr:row>
      <xdr:rowOff>130003</xdr:rowOff>
    </xdr:from>
    <xdr:to>
      <xdr:col>10</xdr:col>
      <xdr:colOff>530629</xdr:colOff>
      <xdr:row>29</xdr:row>
      <xdr:rowOff>5773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781CD96-5C53-4DC8-AD84-9837A9023A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857730BA07C3B6BD/Escritorio/EDISSON/ELY%20PILAPANA/calest.xls" TargetMode="External"/><Relationship Id="rId1" Type="http://schemas.openxmlformats.org/officeDocument/2006/relationships/externalLinkPath" Target="/857730BA07C3B6BD/Escritorio/EDISSON/ELY%20PILAPANA/cales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im"/>
      <sheetName val="PEDESTAL"/>
      <sheetName val="COL"/>
      <sheetName val="ESCALERA"/>
      <sheetName val="muro corte"/>
      <sheetName val="datos memoria"/>
      <sheetName val="SISMICA"/>
      <sheetName val="RESUMEN"/>
      <sheetName val="CIMENTACION"/>
      <sheetName val="Hoja5"/>
      <sheetName val="Hoja3"/>
      <sheetName val="ETABS"/>
      <sheetName val="ROTULA 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D3">
            <v>0</v>
          </cell>
          <cell r="E3">
            <v>1.1903999999999999</v>
          </cell>
          <cell r="F3">
            <v>0.22044444444444442</v>
          </cell>
        </row>
        <row r="4">
          <cell r="D4">
            <v>0.1</v>
          </cell>
          <cell r="E4">
            <v>1.1903999999999999</v>
          </cell>
          <cell r="F4">
            <v>0.22044444444444442</v>
          </cell>
        </row>
        <row r="5">
          <cell r="D5">
            <v>0.2</v>
          </cell>
          <cell r="E5">
            <v>1.1903999999999999</v>
          </cell>
          <cell r="F5">
            <v>0.22044444444444442</v>
          </cell>
        </row>
        <row r="6">
          <cell r="D6">
            <v>0.3</v>
          </cell>
          <cell r="E6">
            <v>1.1903999999999999</v>
          </cell>
          <cell r="F6">
            <v>0.22044444444444442</v>
          </cell>
        </row>
        <row r="7">
          <cell r="D7">
            <v>0.4</v>
          </cell>
          <cell r="E7">
            <v>1.1903999999999999</v>
          </cell>
          <cell r="F7">
            <v>0.22044444444444442</v>
          </cell>
        </row>
        <row r="8">
          <cell r="D8">
            <v>0.5</v>
          </cell>
          <cell r="E8">
            <v>1.1903999999999999</v>
          </cell>
          <cell r="F8">
            <v>0.22044444444444442</v>
          </cell>
        </row>
        <row r="9">
          <cell r="D9">
            <v>0.6</v>
          </cell>
          <cell r="E9">
            <v>1.1903999999999999</v>
          </cell>
          <cell r="F9">
            <v>0.22044444444444442</v>
          </cell>
        </row>
        <row r="10">
          <cell r="D10">
            <v>0.7</v>
          </cell>
          <cell r="E10">
            <v>1.1872256000000001</v>
          </cell>
          <cell r="F10">
            <v>0.2198565925925926</v>
          </cell>
        </row>
        <row r="11">
          <cell r="D11">
            <v>0.8</v>
          </cell>
          <cell r="E11">
            <v>1.0388223999999999</v>
          </cell>
          <cell r="F11">
            <v>0.1923745185185185</v>
          </cell>
        </row>
        <row r="12">
          <cell r="D12">
            <v>0.9</v>
          </cell>
          <cell r="E12">
            <v>0.92339768888888896</v>
          </cell>
          <cell r="F12">
            <v>0.1709995720164609</v>
          </cell>
        </row>
        <row r="13">
          <cell r="D13">
            <v>1</v>
          </cell>
          <cell r="E13">
            <v>0.83105792000000001</v>
          </cell>
          <cell r="F13">
            <v>0.15389961481481482</v>
          </cell>
        </row>
        <row r="14">
          <cell r="D14">
            <v>1.1000000000000001</v>
          </cell>
          <cell r="E14">
            <v>0.75550720000000005</v>
          </cell>
          <cell r="F14">
            <v>0.13990874074074075</v>
          </cell>
        </row>
        <row r="15">
          <cell r="D15">
            <v>1.2</v>
          </cell>
          <cell r="E15">
            <v>0.69254826666666669</v>
          </cell>
          <cell r="F15">
            <v>0.12824967901234569</v>
          </cell>
        </row>
        <row r="16">
          <cell r="D16">
            <v>1.3</v>
          </cell>
          <cell r="E16">
            <v>0.63927532307692314</v>
          </cell>
          <cell r="F16">
            <v>0.11838431908831909</v>
          </cell>
        </row>
        <row r="17">
          <cell r="D17">
            <v>1.4</v>
          </cell>
          <cell r="E17">
            <v>0.59361280000000005</v>
          </cell>
          <cell r="F17">
            <v>0.1099282962962963</v>
          </cell>
        </row>
        <row r="18">
          <cell r="D18">
            <v>1.5</v>
          </cell>
          <cell r="E18">
            <v>0.55403861333333326</v>
          </cell>
          <cell r="F18">
            <v>0.10259974320987653</v>
          </cell>
        </row>
        <row r="19">
          <cell r="D19">
            <v>1.6</v>
          </cell>
          <cell r="E19">
            <v>0.51941119999999996</v>
          </cell>
          <cell r="F19">
            <v>9.618725925925925E-2</v>
          </cell>
        </row>
        <row r="20">
          <cell r="D20">
            <v>1.7</v>
          </cell>
          <cell r="E20">
            <v>0.4888576</v>
          </cell>
          <cell r="F20">
            <v>9.0529185185185171E-2</v>
          </cell>
        </row>
        <row r="21">
          <cell r="D21">
            <v>1.8</v>
          </cell>
          <cell r="E21">
            <v>0.46169884444444448</v>
          </cell>
          <cell r="F21">
            <v>8.5499786008230452E-2</v>
          </cell>
        </row>
        <row r="22">
          <cell r="D22">
            <v>1.9</v>
          </cell>
          <cell r="E22">
            <v>0.43739890526315794</v>
          </cell>
          <cell r="F22">
            <v>8.0999797270955173E-2</v>
          </cell>
        </row>
        <row r="23">
          <cell r="D23">
            <v>2</v>
          </cell>
          <cell r="E23">
            <v>0.41552896</v>
          </cell>
          <cell r="F23">
            <v>7.6949807407407408E-2</v>
          </cell>
        </row>
        <row r="24">
          <cell r="D24">
            <v>2.1</v>
          </cell>
          <cell r="E24">
            <v>0.39574186666666661</v>
          </cell>
          <cell r="F24">
            <v>7.3285530864197521E-2</v>
          </cell>
        </row>
        <row r="25">
          <cell r="D25">
            <v>2.2000000000000002</v>
          </cell>
          <cell r="E25">
            <v>0.37775360000000002</v>
          </cell>
          <cell r="F25">
            <v>6.9954370370370375E-2</v>
          </cell>
        </row>
        <row r="26">
          <cell r="D26">
            <v>2.2999999999999998</v>
          </cell>
          <cell r="E26">
            <v>0.36132953043478266</v>
          </cell>
          <cell r="F26">
            <v>6.6912876006441233E-2</v>
          </cell>
        </row>
        <row r="27">
          <cell r="D27">
            <v>2.4</v>
          </cell>
          <cell r="E27">
            <v>0.34627413333333334</v>
          </cell>
          <cell r="F27">
            <v>6.4124839506172843E-2</v>
          </cell>
        </row>
        <row r="28">
          <cell r="D28">
            <v>2.5</v>
          </cell>
          <cell r="E28">
            <v>0.33242316799999999</v>
          </cell>
          <cell r="F28">
            <v>6.1559845925925921E-2</v>
          </cell>
        </row>
        <row r="29">
          <cell r="D29">
            <v>2.6</v>
          </cell>
          <cell r="E29">
            <v>0.31963766153846157</v>
          </cell>
          <cell r="F29">
            <v>5.9192159544159545E-2</v>
          </cell>
        </row>
        <row r="30">
          <cell r="D30">
            <v>2.7</v>
          </cell>
          <cell r="E30">
            <v>0.30779922962962963</v>
          </cell>
          <cell r="F30">
            <v>5.6999857338820299E-2</v>
          </cell>
        </row>
        <row r="31">
          <cell r="D31">
            <v>2.8</v>
          </cell>
          <cell r="E31">
            <v>0.29680640000000003</v>
          </cell>
          <cell r="F31">
            <v>5.4964148148148151E-2</v>
          </cell>
        </row>
        <row r="32">
          <cell r="D32">
            <v>2.9</v>
          </cell>
          <cell r="E32">
            <v>0.28657169655172415</v>
          </cell>
          <cell r="F32">
            <v>5.3068832694763729E-2</v>
          </cell>
        </row>
        <row r="33">
          <cell r="D33">
            <v>3</v>
          </cell>
          <cell r="E33">
            <v>0.27701930666666663</v>
          </cell>
          <cell r="F33">
            <v>5.1299871604938263E-2</v>
          </cell>
        </row>
      </sheetData>
      <sheetData sheetId="7"/>
      <sheetData sheetId="8"/>
      <sheetData sheetId="9"/>
      <sheetData sheetId="10"/>
      <sheetData sheetId="11"/>
      <sheetData sheetId="1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1F4FD-CE30-4237-B5E5-4E08F894E2B3}">
  <dimension ref="A1:U28"/>
  <sheetViews>
    <sheetView zoomScale="120" zoomScaleNormal="120" workbookViewId="0">
      <selection activeCell="M2" sqref="M2:U2"/>
    </sheetView>
  </sheetViews>
  <sheetFormatPr baseColWidth="10" defaultRowHeight="14.4" x14ac:dyDescent="0.3"/>
  <cols>
    <col min="1" max="1" width="8.77734375" style="1" customWidth="1"/>
    <col min="2" max="2" width="8.109375" style="1" customWidth="1"/>
    <col min="3" max="3" width="6.77734375" style="1" customWidth="1"/>
    <col min="4" max="4" width="2.5546875" style="1" customWidth="1"/>
    <col min="5" max="6" width="8.77734375" style="1" customWidth="1"/>
    <col min="7" max="7" width="6.44140625" style="1" customWidth="1"/>
    <col min="8" max="8" width="3" style="1" customWidth="1"/>
    <col min="9" max="9" width="8.77734375" style="1" customWidth="1"/>
    <col min="10" max="11" width="7.88671875" style="1" customWidth="1"/>
    <col min="12" max="14" width="8.109375" style="1" customWidth="1"/>
    <col min="15" max="17" width="8.44140625" style="1" customWidth="1"/>
    <col min="18" max="18" width="8.6640625" style="1" customWidth="1"/>
    <col min="19" max="21" width="7.6640625" style="1" customWidth="1"/>
    <col min="22" max="16384" width="11.5546875" style="1"/>
  </cols>
  <sheetData>
    <row r="1" spans="1:21" x14ac:dyDescent="0.3">
      <c r="A1" s="90" t="s">
        <v>0</v>
      </c>
      <c r="B1" s="90"/>
      <c r="C1" s="90"/>
      <c r="E1" s="90" t="s">
        <v>9</v>
      </c>
      <c r="F1" s="90"/>
      <c r="G1" s="90"/>
    </row>
    <row r="2" spans="1:21" x14ac:dyDescent="0.3">
      <c r="A2" s="2" t="s">
        <v>1</v>
      </c>
      <c r="B2" s="3">
        <v>3.96</v>
      </c>
      <c r="C2" s="2" t="s">
        <v>5</v>
      </c>
      <c r="E2" s="2" t="s">
        <v>10</v>
      </c>
      <c r="F2" s="2">
        <f>+MAX(B2:B5)</f>
        <v>6.75</v>
      </c>
      <c r="G2" s="2" t="s">
        <v>5</v>
      </c>
      <c r="M2" s="125" t="s">
        <v>437</v>
      </c>
      <c r="N2" s="125"/>
      <c r="O2" s="125"/>
      <c r="P2" s="125" t="s">
        <v>437</v>
      </c>
      <c r="Q2" s="125"/>
      <c r="R2" s="125"/>
      <c r="S2" s="125" t="s">
        <v>437</v>
      </c>
      <c r="T2" s="125"/>
      <c r="U2" s="125"/>
    </row>
    <row r="3" spans="1:21" x14ac:dyDescent="0.3">
      <c r="A3" s="2" t="s">
        <v>2</v>
      </c>
      <c r="B3" s="3">
        <v>6.75</v>
      </c>
      <c r="C3" s="2" t="s">
        <v>5</v>
      </c>
      <c r="E3" s="2" t="s">
        <v>29</v>
      </c>
      <c r="F3" s="6">
        <v>1</v>
      </c>
      <c r="G3" s="2" t="s">
        <v>7</v>
      </c>
      <c r="J3" s="11"/>
      <c r="K3" s="11"/>
      <c r="M3" s="2" t="s">
        <v>313</v>
      </c>
      <c r="N3" s="2">
        <f>+B2</f>
        <v>3.96</v>
      </c>
      <c r="O3" s="2" t="s">
        <v>5</v>
      </c>
      <c r="P3" s="2" t="s">
        <v>313</v>
      </c>
      <c r="Q3" s="2">
        <f>+B3</f>
        <v>6.75</v>
      </c>
      <c r="R3" s="2" t="s">
        <v>5</v>
      </c>
      <c r="S3" s="2" t="s">
        <v>313</v>
      </c>
      <c r="T3" s="2">
        <f>+B4</f>
        <v>4.5599999999999996</v>
      </c>
      <c r="U3" s="2" t="s">
        <v>5</v>
      </c>
    </row>
    <row r="4" spans="1:21" x14ac:dyDescent="0.3">
      <c r="A4" s="2" t="s">
        <v>3</v>
      </c>
      <c r="B4" s="3">
        <v>4.5599999999999996</v>
      </c>
      <c r="C4" s="2" t="s">
        <v>5</v>
      </c>
      <c r="E4" s="2" t="s">
        <v>30</v>
      </c>
      <c r="F4" s="2">
        <f>+F2/(F3+1)</f>
        <v>3.375</v>
      </c>
      <c r="G4" s="2" t="s">
        <v>5</v>
      </c>
      <c r="J4" s="11"/>
      <c r="K4" s="11"/>
      <c r="M4" s="2" t="s">
        <v>152</v>
      </c>
      <c r="N4" s="2">
        <v>0.5</v>
      </c>
      <c r="O4" s="2" t="s">
        <v>5</v>
      </c>
      <c r="P4" s="2" t="s">
        <v>152</v>
      </c>
      <c r="Q4" s="2">
        <f>+N4</f>
        <v>0.5</v>
      </c>
      <c r="R4" s="2" t="s">
        <v>5</v>
      </c>
      <c r="S4" s="2" t="s">
        <v>152</v>
      </c>
      <c r="T4" s="2">
        <f>+Q4</f>
        <v>0.5</v>
      </c>
      <c r="U4" s="2" t="s">
        <v>5</v>
      </c>
    </row>
    <row r="5" spans="1:21" x14ac:dyDescent="0.3">
      <c r="A5" s="2" t="s">
        <v>4</v>
      </c>
      <c r="B5" s="3">
        <v>4.2</v>
      </c>
      <c r="C5" s="2" t="s">
        <v>5</v>
      </c>
      <c r="E5" s="2" t="s">
        <v>11</v>
      </c>
      <c r="F5" s="4">
        <f>+F4*100*0.03</f>
        <v>10.125</v>
      </c>
      <c r="G5" s="2" t="s">
        <v>12</v>
      </c>
      <c r="J5" s="11"/>
      <c r="K5" s="11"/>
      <c r="L5" s="11"/>
      <c r="M5" s="2" t="s">
        <v>54</v>
      </c>
      <c r="N5" s="2">
        <f>+'VIGAS horm'!B13</f>
        <v>1.1633599999999999</v>
      </c>
      <c r="O5" s="2" t="s">
        <v>33</v>
      </c>
      <c r="P5" s="2" t="s">
        <v>54</v>
      </c>
      <c r="Q5" s="2">
        <f>+N5</f>
        <v>1.1633599999999999</v>
      </c>
      <c r="R5" s="2" t="s">
        <v>33</v>
      </c>
      <c r="S5" s="2" t="s">
        <v>54</v>
      </c>
      <c r="T5" s="2">
        <f>+Q5</f>
        <v>1.1633599999999999</v>
      </c>
      <c r="U5" s="2" t="s">
        <v>33</v>
      </c>
    </row>
    <row r="6" spans="1:21" x14ac:dyDescent="0.3">
      <c r="A6" s="2" t="s">
        <v>6</v>
      </c>
      <c r="B6" s="6">
        <v>2</v>
      </c>
      <c r="C6" s="2" t="s">
        <v>7</v>
      </c>
      <c r="E6" s="7" t="s">
        <v>18</v>
      </c>
      <c r="F6" s="8">
        <f>+F15*F5^3 /12</f>
        <v>8649.755859375</v>
      </c>
      <c r="G6" s="7" t="s">
        <v>19</v>
      </c>
      <c r="L6" s="11"/>
      <c r="M6" s="2" t="s">
        <v>351</v>
      </c>
      <c r="N6" s="2">
        <f>+N5*N4</f>
        <v>0.58167999999999997</v>
      </c>
      <c r="O6" s="2" t="s">
        <v>155</v>
      </c>
      <c r="P6" s="2" t="s">
        <v>351</v>
      </c>
      <c r="Q6" s="2">
        <f>+Q5*Q4</f>
        <v>0.58167999999999997</v>
      </c>
      <c r="R6" s="2" t="s">
        <v>155</v>
      </c>
      <c r="S6" s="2" t="s">
        <v>351</v>
      </c>
      <c r="T6" s="2">
        <f>+T5*T4</f>
        <v>0.58167999999999997</v>
      </c>
      <c r="U6" s="2" t="s">
        <v>155</v>
      </c>
    </row>
    <row r="7" spans="1:21" x14ac:dyDescent="0.3">
      <c r="A7" s="2" t="s">
        <v>8</v>
      </c>
      <c r="B7" s="3">
        <v>3.4</v>
      </c>
      <c r="C7" s="2" t="s">
        <v>5</v>
      </c>
      <c r="E7" s="7" t="s">
        <v>28</v>
      </c>
      <c r="F7" s="8">
        <f>+K28</f>
        <v>49097.222222222219</v>
      </c>
      <c r="G7" s="7" t="s">
        <v>19</v>
      </c>
      <c r="M7" s="2" t="s">
        <v>318</v>
      </c>
      <c r="N7" s="2">
        <f>+N6*N3^2 /12</f>
        <v>0.76013942400000001</v>
      </c>
      <c r="O7" s="2" t="s">
        <v>55</v>
      </c>
      <c r="P7" s="2" t="s">
        <v>318</v>
      </c>
      <c r="Q7" s="2">
        <f>+Q6*Q3^2 /12</f>
        <v>2.2085662500000001</v>
      </c>
      <c r="R7" s="2" t="s">
        <v>55</v>
      </c>
      <c r="S7" s="2" t="s">
        <v>318</v>
      </c>
      <c r="T7" s="2">
        <f>+T6*T3^2 /12</f>
        <v>1.0079351039999997</v>
      </c>
      <c r="U7" s="2" t="s">
        <v>55</v>
      </c>
    </row>
    <row r="8" spans="1:21" x14ac:dyDescent="0.3">
      <c r="A8" s="2"/>
      <c r="B8" s="2"/>
      <c r="C8" s="2"/>
      <c r="E8" s="94" t="str">
        <f>+IF(F7&lt;F6,"Suba h o Viga Intermedia","OK")</f>
        <v>OK</v>
      </c>
      <c r="F8" s="94"/>
      <c r="G8" s="94"/>
      <c r="M8" s="2" t="s">
        <v>59</v>
      </c>
      <c r="N8" s="2">
        <v>10</v>
      </c>
      <c r="O8" s="2" t="s">
        <v>12</v>
      </c>
      <c r="P8" s="2" t="s">
        <v>59</v>
      </c>
      <c r="Q8" s="2">
        <v>10</v>
      </c>
      <c r="R8" s="2" t="s">
        <v>12</v>
      </c>
      <c r="S8" s="2" t="s">
        <v>59</v>
      </c>
      <c r="T8" s="2">
        <v>10</v>
      </c>
      <c r="U8" s="2" t="s">
        <v>12</v>
      </c>
    </row>
    <row r="9" spans="1:21" x14ac:dyDescent="0.3">
      <c r="A9" s="2" t="s">
        <v>31</v>
      </c>
      <c r="B9" s="95" t="s">
        <v>46</v>
      </c>
      <c r="C9" s="96"/>
      <c r="M9" s="2" t="s">
        <v>160</v>
      </c>
      <c r="N9" s="2">
        <f>+F11</f>
        <v>25</v>
      </c>
      <c r="O9" s="2" t="s">
        <v>12</v>
      </c>
      <c r="P9" s="2" t="s">
        <v>160</v>
      </c>
      <c r="Q9" s="2">
        <f>+N9</f>
        <v>25</v>
      </c>
      <c r="R9" s="2" t="s">
        <v>12</v>
      </c>
      <c r="S9" s="2" t="s">
        <v>160</v>
      </c>
      <c r="T9" s="2">
        <f>+Q9</f>
        <v>25</v>
      </c>
      <c r="U9" s="2" t="s">
        <v>12</v>
      </c>
    </row>
    <row r="10" spans="1:21" x14ac:dyDescent="0.3">
      <c r="A10" s="2" t="s">
        <v>32</v>
      </c>
      <c r="B10" s="95" t="s">
        <v>46</v>
      </c>
      <c r="C10" s="96"/>
      <c r="E10" s="91" t="s">
        <v>13</v>
      </c>
      <c r="F10" s="92"/>
      <c r="G10" s="93"/>
      <c r="M10" s="2" t="s">
        <v>112</v>
      </c>
      <c r="N10" s="2">
        <f>30*N7/(N9-3)*0.75</f>
        <v>0.77741532000000002</v>
      </c>
      <c r="O10" s="2" t="s">
        <v>68</v>
      </c>
      <c r="P10" s="2" t="s">
        <v>112</v>
      </c>
      <c r="Q10" s="2">
        <f>30*Q7/(Q9-3)*0.75</f>
        <v>2.2587609375000004</v>
      </c>
      <c r="R10" s="2" t="s">
        <v>68</v>
      </c>
      <c r="S10" s="2" t="s">
        <v>112</v>
      </c>
      <c r="T10" s="2">
        <f>30*T7/(T9-3)*0.75</f>
        <v>1.0308427199999997</v>
      </c>
      <c r="U10" s="2" t="s">
        <v>68</v>
      </c>
    </row>
    <row r="11" spans="1:21" x14ac:dyDescent="0.3">
      <c r="A11" s="2"/>
      <c r="B11" s="2"/>
      <c r="C11" s="2"/>
      <c r="E11" s="2" t="s">
        <v>14</v>
      </c>
      <c r="F11" s="6">
        <v>25</v>
      </c>
      <c r="G11" s="2" t="s">
        <v>12</v>
      </c>
      <c r="I11" s="2" t="s">
        <v>35</v>
      </c>
      <c r="J11" s="2">
        <f>+F15*F15/10000*F11/100</f>
        <v>0.25</v>
      </c>
      <c r="K11" s="2" t="s">
        <v>36</v>
      </c>
      <c r="M11" s="2" t="s">
        <v>438</v>
      </c>
      <c r="N11" s="2">
        <f>+N10*0.65</f>
        <v>0.50531995800000007</v>
      </c>
      <c r="O11" s="2" t="s">
        <v>68</v>
      </c>
      <c r="P11" s="2" t="s">
        <v>438</v>
      </c>
      <c r="Q11" s="2">
        <f>+Q10*0.65</f>
        <v>1.4681946093750002</v>
      </c>
      <c r="R11" s="2" t="s">
        <v>68</v>
      </c>
      <c r="S11" s="2" t="s">
        <v>438</v>
      </c>
      <c r="T11" s="2">
        <f>+T10*0.65</f>
        <v>0.67004776799999977</v>
      </c>
      <c r="U11" s="2" t="s">
        <v>68</v>
      </c>
    </row>
    <row r="12" spans="1:21" x14ac:dyDescent="0.3">
      <c r="A12" s="7" t="s">
        <v>34</v>
      </c>
      <c r="B12" s="7">
        <f>+J16+0.08+B18+B19</f>
        <v>0.70279999999999998</v>
      </c>
      <c r="C12" s="7" t="s">
        <v>33</v>
      </c>
      <c r="E12" s="2" t="s">
        <v>15</v>
      </c>
      <c r="F12" s="6">
        <v>10</v>
      </c>
      <c r="G12" s="2" t="s">
        <v>12</v>
      </c>
      <c r="I12" s="2" t="s">
        <v>37</v>
      </c>
      <c r="J12" s="2">
        <f>+F13^2*(F11-F14)*4/1000000</f>
        <v>0.128</v>
      </c>
      <c r="K12" s="2" t="s">
        <v>36</v>
      </c>
    </row>
    <row r="13" spans="1:21" x14ac:dyDescent="0.3">
      <c r="A13" s="2"/>
      <c r="B13" s="2"/>
      <c r="C13" s="2"/>
      <c r="E13" s="2" t="s">
        <v>16</v>
      </c>
      <c r="F13" s="6">
        <v>40</v>
      </c>
      <c r="G13" s="2" t="s">
        <v>12</v>
      </c>
      <c r="I13" s="2" t="s">
        <v>38</v>
      </c>
      <c r="J13" s="2">
        <f>+J11-J12</f>
        <v>0.122</v>
      </c>
      <c r="K13" s="2" t="s">
        <v>36</v>
      </c>
    </row>
    <row r="14" spans="1:21" x14ac:dyDescent="0.3">
      <c r="E14" s="2" t="s">
        <v>21</v>
      </c>
      <c r="F14" s="6">
        <v>5</v>
      </c>
      <c r="G14" s="2" t="s">
        <v>12</v>
      </c>
      <c r="I14" s="2" t="s">
        <v>39</v>
      </c>
      <c r="J14" s="2">
        <f>+J13*2.4</f>
        <v>0.2928</v>
      </c>
      <c r="K14" s="2" t="s">
        <v>40</v>
      </c>
    </row>
    <row r="15" spans="1:21" x14ac:dyDescent="0.3">
      <c r="E15" s="2" t="s">
        <v>17</v>
      </c>
      <c r="F15" s="5">
        <f>2*F12+2*F13</f>
        <v>100</v>
      </c>
      <c r="G15" s="2" t="s">
        <v>12</v>
      </c>
      <c r="I15" s="2" t="s">
        <v>41</v>
      </c>
      <c r="J15" s="2">
        <f>+F15*F15/10000</f>
        <v>1</v>
      </c>
      <c r="K15" s="2" t="s">
        <v>42</v>
      </c>
    </row>
    <row r="16" spans="1:21" x14ac:dyDescent="0.3">
      <c r="A16" s="2"/>
      <c r="B16" s="2"/>
      <c r="C16" s="2"/>
      <c r="E16" s="2" t="s">
        <v>24</v>
      </c>
      <c r="F16" s="2">
        <f>+H28/F28</f>
        <v>16.944444444444443</v>
      </c>
      <c r="G16" s="2" t="s">
        <v>12</v>
      </c>
      <c r="I16" s="7" t="s">
        <v>43</v>
      </c>
      <c r="J16" s="7">
        <f>+J14/J15</f>
        <v>0.2928</v>
      </c>
      <c r="K16" s="7" t="s">
        <v>33</v>
      </c>
    </row>
    <row r="17" spans="1:11" x14ac:dyDescent="0.3">
      <c r="E17" s="9" t="s">
        <v>44</v>
      </c>
      <c r="F17" s="10">
        <f>+(12*F7/F15)^(0.333333333333333)</f>
        <v>18.061177298314714</v>
      </c>
      <c r="G17" s="9" t="s">
        <v>12</v>
      </c>
    </row>
    <row r="18" spans="1:11" x14ac:dyDescent="0.3">
      <c r="A18" s="2" t="s">
        <v>31</v>
      </c>
      <c r="B18" s="2">
        <f>+IF(B9="Pesado",0.18,0.06)</f>
        <v>0.18</v>
      </c>
      <c r="C18" s="2" t="s">
        <v>33</v>
      </c>
      <c r="E18" s="9" t="s">
        <v>45</v>
      </c>
      <c r="F18" s="10">
        <f>+F17/0.03 /100</f>
        <v>6.0203924327715717</v>
      </c>
      <c r="G18" s="9" t="s">
        <v>5</v>
      </c>
    </row>
    <row r="19" spans="1:11" x14ac:dyDescent="0.3">
      <c r="A19" s="2" t="s">
        <v>32</v>
      </c>
      <c r="B19" s="2">
        <f>+IF(B10="Pesado",0.75*(F11-F14)/100,0)</f>
        <v>0.15</v>
      </c>
      <c r="C19" s="2" t="s">
        <v>33</v>
      </c>
    </row>
    <row r="20" spans="1:11" x14ac:dyDescent="0.3">
      <c r="E20" s="2" t="s">
        <v>254</v>
      </c>
      <c r="F20" s="2">
        <f>2.4*F17/100</f>
        <v>0.43346825515955312</v>
      </c>
      <c r="G20" s="2" t="s">
        <v>33</v>
      </c>
    </row>
    <row r="21" spans="1:11" x14ac:dyDescent="0.3">
      <c r="E21" s="2" t="s">
        <v>255</v>
      </c>
      <c r="F21" s="2">
        <f>+B12-F20</f>
        <v>0.26933174484044686</v>
      </c>
      <c r="G21" s="2" t="s">
        <v>33</v>
      </c>
    </row>
    <row r="24" spans="1:11" x14ac:dyDescent="0.3">
      <c r="E24" s="7"/>
      <c r="F24" s="7" t="s">
        <v>20</v>
      </c>
      <c r="G24" s="7" t="s">
        <v>22</v>
      </c>
      <c r="H24" s="7" t="s">
        <v>23</v>
      </c>
      <c r="I24" s="7" t="s">
        <v>25</v>
      </c>
      <c r="J24" s="7" t="s">
        <v>26</v>
      </c>
      <c r="K24" s="7" t="s">
        <v>27</v>
      </c>
    </row>
    <row r="25" spans="1:11" x14ac:dyDescent="0.3">
      <c r="E25" s="8">
        <v>1</v>
      </c>
      <c r="F25" s="5">
        <f>+F12*(F11-F14)</f>
        <v>200</v>
      </c>
      <c r="G25" s="2">
        <f>+(F11-F14)/2</f>
        <v>10</v>
      </c>
      <c r="H25" s="5">
        <f>+F25*G25</f>
        <v>2000</v>
      </c>
      <c r="I25" s="5">
        <f>+F12*(F11-F14)^3 /12</f>
        <v>6666.666666666667</v>
      </c>
      <c r="J25" s="2">
        <f>+(G25-$F$16)^2</f>
        <v>48.225308641975289</v>
      </c>
      <c r="K25" s="5">
        <f>+I25+F25*J25</f>
        <v>16311.728395061724</v>
      </c>
    </row>
    <row r="26" spans="1:11" x14ac:dyDescent="0.3">
      <c r="E26" s="8">
        <v>2</v>
      </c>
      <c r="F26" s="5">
        <f>+F25</f>
        <v>200</v>
      </c>
      <c r="G26" s="2">
        <f>+G25</f>
        <v>10</v>
      </c>
      <c r="H26" s="5">
        <f t="shared" ref="H26:H27" si="0">+F26*G26</f>
        <v>2000</v>
      </c>
      <c r="I26" s="5">
        <f>+I25</f>
        <v>6666.666666666667</v>
      </c>
      <c r="J26" s="2">
        <f t="shared" ref="J26:J27" si="1">+(G26-$F$16)^2</f>
        <v>48.225308641975289</v>
      </c>
      <c r="K26" s="5">
        <f t="shared" ref="K26:K27" si="2">+I26+F26*J26</f>
        <v>16311.728395061724</v>
      </c>
    </row>
    <row r="27" spans="1:11" x14ac:dyDescent="0.3">
      <c r="E27" s="8">
        <v>3</v>
      </c>
      <c r="F27" s="5">
        <f>+F15*F14</f>
        <v>500</v>
      </c>
      <c r="G27" s="2">
        <f>+F11-F14/2</f>
        <v>22.5</v>
      </c>
      <c r="H27" s="5">
        <f t="shared" si="0"/>
        <v>11250</v>
      </c>
      <c r="I27" s="5">
        <f>+F15*F14^3 /12</f>
        <v>1041.6666666666667</v>
      </c>
      <c r="J27" s="2">
        <f t="shared" si="1"/>
        <v>30.864197530864214</v>
      </c>
      <c r="K27" s="5">
        <f t="shared" si="2"/>
        <v>16473.765432098775</v>
      </c>
    </row>
    <row r="28" spans="1:11" x14ac:dyDescent="0.3">
      <c r="F28" s="8">
        <f>SUM(F25:F27)</f>
        <v>900</v>
      </c>
      <c r="G28" s="2"/>
      <c r="H28" s="8">
        <f>SUM(H25:H27)</f>
        <v>15250</v>
      </c>
      <c r="K28" s="8">
        <f>SUM(K25:K27)</f>
        <v>49097.222222222219</v>
      </c>
    </row>
  </sheetData>
  <mergeCells count="9">
    <mergeCell ref="M2:O2"/>
    <mergeCell ref="P2:R2"/>
    <mergeCell ref="S2:U2"/>
    <mergeCell ref="A1:C1"/>
    <mergeCell ref="E1:G1"/>
    <mergeCell ref="E10:G10"/>
    <mergeCell ref="E8:G8"/>
    <mergeCell ref="B9:C9"/>
    <mergeCell ref="B10:C10"/>
  </mergeCells>
  <dataValidations disablePrompts="1" count="1">
    <dataValidation type="list" allowBlank="1" showInputMessage="1" showErrorMessage="1" sqref="B9:C10" xr:uid="{7EF5A1BC-10B4-4C57-A5D3-D9672E605DD3}">
      <formula1>"Pesado,Liviano"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4F7A7-E396-4C41-89D9-D16E82E94233}">
  <dimension ref="A1:N32"/>
  <sheetViews>
    <sheetView topLeftCell="A7" zoomScale="120" zoomScaleNormal="120" workbookViewId="0">
      <selection activeCell="F19" sqref="F19"/>
    </sheetView>
  </sheetViews>
  <sheetFormatPr baseColWidth="10" defaultRowHeight="14.4" x14ac:dyDescent="0.3"/>
  <cols>
    <col min="1" max="2" width="8.77734375" style="1" customWidth="1"/>
    <col min="3" max="3" width="8.33203125" style="1" customWidth="1"/>
    <col min="4" max="4" width="1.33203125" style="1" customWidth="1"/>
    <col min="5" max="5" width="9.109375" style="1" customWidth="1"/>
    <col min="6" max="6" width="8.6640625" style="1" customWidth="1"/>
    <col min="7" max="7" width="7.33203125" style="1" customWidth="1"/>
    <col min="8" max="8" width="1.33203125" style="1" customWidth="1"/>
    <col min="9" max="11" width="8.5546875" style="1" customWidth="1"/>
    <col min="12" max="12" width="1.88671875" style="1" customWidth="1"/>
    <col min="13" max="13" width="10.21875" style="1" customWidth="1"/>
    <col min="14" max="16" width="7.77734375" style="1" customWidth="1"/>
    <col min="17" max="16384" width="11.5546875" style="1"/>
  </cols>
  <sheetData>
    <row r="1" spans="1:14" x14ac:dyDescent="0.3">
      <c r="A1" s="90" t="s">
        <v>0</v>
      </c>
      <c r="B1" s="90"/>
      <c r="C1" s="90"/>
      <c r="E1" s="90" t="s">
        <v>47</v>
      </c>
      <c r="F1" s="90"/>
      <c r="G1" s="90"/>
      <c r="H1" s="90"/>
      <c r="I1" s="90"/>
      <c r="J1" s="90"/>
      <c r="K1" s="90"/>
    </row>
    <row r="2" spans="1:14" x14ac:dyDescent="0.3">
      <c r="A2" s="2" t="s">
        <v>1</v>
      </c>
      <c r="B2" s="2">
        <f>+'losa horm'!B2</f>
        <v>3.96</v>
      </c>
      <c r="C2" s="2" t="s">
        <v>5</v>
      </c>
      <c r="E2" s="17" t="s">
        <v>48</v>
      </c>
      <c r="F2" s="17">
        <f>+MAX(B2:B3)</f>
        <v>6.75</v>
      </c>
      <c r="G2" s="17" t="s">
        <v>5</v>
      </c>
      <c r="I2" s="99" t="s">
        <v>83</v>
      </c>
      <c r="J2" s="99"/>
      <c r="K2" s="99"/>
    </row>
    <row r="3" spans="1:14" x14ac:dyDescent="0.3">
      <c r="A3" s="2" t="s">
        <v>2</v>
      </c>
      <c r="B3" s="2">
        <f>+'losa horm'!B3</f>
        <v>6.75</v>
      </c>
      <c r="C3" s="2" t="s">
        <v>5</v>
      </c>
      <c r="E3" s="12" t="s">
        <v>49</v>
      </c>
      <c r="F3" s="12">
        <f>+AVERAGE(B4:B5)</f>
        <v>4.38</v>
      </c>
      <c r="G3" s="12" t="s">
        <v>5</v>
      </c>
      <c r="I3" s="2" t="s">
        <v>86</v>
      </c>
      <c r="J3" s="2">
        <f>+(2*F2-F3)*F3*B13/4</f>
        <v>11.617778304000002</v>
      </c>
      <c r="K3" s="2" t="s">
        <v>40</v>
      </c>
    </row>
    <row r="4" spans="1:14" x14ac:dyDescent="0.3">
      <c r="A4" s="2" t="s">
        <v>3</v>
      </c>
      <c r="B4" s="2">
        <f>+'losa horm'!B4</f>
        <v>4.5599999999999996</v>
      </c>
      <c r="C4" s="2" t="s">
        <v>5</v>
      </c>
      <c r="E4" s="9" t="s">
        <v>50</v>
      </c>
      <c r="F4" s="9">
        <f>+B13*F3*(F2-0.3)^2 /8 *0.65*0.85*1.1</f>
        <v>16.10432949314475</v>
      </c>
      <c r="G4" s="9" t="s">
        <v>55</v>
      </c>
      <c r="I4" s="5" t="s">
        <v>87</v>
      </c>
      <c r="J4" s="2">
        <f>+(J18+J19)/(F2-J17-F11/25)</f>
        <v>6.4833242352941172</v>
      </c>
      <c r="K4" s="2" t="s">
        <v>40</v>
      </c>
      <c r="M4" s="11"/>
    </row>
    <row r="5" spans="1:14" x14ac:dyDescent="0.3">
      <c r="A5" s="2" t="s">
        <v>4</v>
      </c>
      <c r="B5" s="2">
        <f>+'losa horm'!B5</f>
        <v>4.2</v>
      </c>
      <c r="C5" s="2" t="s">
        <v>5</v>
      </c>
      <c r="E5" s="9" t="s">
        <v>56</v>
      </c>
      <c r="F5" s="9">
        <f>0.9*(F21*B17*(F13-F31/2))/100000</f>
        <v>14.772170611651761</v>
      </c>
      <c r="G5" s="9" t="s">
        <v>55</v>
      </c>
      <c r="I5" s="8" t="s">
        <v>88</v>
      </c>
      <c r="J5" s="7">
        <f>SUM(J3:J4)</f>
        <v>18.101102539294118</v>
      </c>
      <c r="K5" s="7" t="s">
        <v>40</v>
      </c>
    </row>
    <row r="6" spans="1:14" x14ac:dyDescent="0.3">
      <c r="A6" s="2" t="s">
        <v>6</v>
      </c>
      <c r="B6" s="5">
        <f>+'losa horm'!B6</f>
        <v>2</v>
      </c>
      <c r="C6" s="2" t="s">
        <v>7</v>
      </c>
      <c r="E6" s="9" t="s">
        <v>57</v>
      </c>
      <c r="F6" s="102">
        <f>+F4/F5</f>
        <v>1.0901803070458873</v>
      </c>
      <c r="G6" s="103"/>
      <c r="I6" s="2" t="s">
        <v>89</v>
      </c>
      <c r="J6" s="2">
        <f>0.53*B16^0.5*F8*F13/1000</f>
        <v>6.6128499505886262</v>
      </c>
      <c r="K6" s="2" t="s">
        <v>40</v>
      </c>
      <c r="N6" s="11"/>
    </row>
    <row r="7" spans="1:14" x14ac:dyDescent="0.3">
      <c r="A7" s="2" t="s">
        <v>8</v>
      </c>
      <c r="B7" s="2">
        <f>+'losa horm'!B7</f>
        <v>3.4</v>
      </c>
      <c r="C7" s="2" t="s">
        <v>5</v>
      </c>
      <c r="E7" s="90" t="s">
        <v>58</v>
      </c>
      <c r="F7" s="90"/>
      <c r="G7" s="90"/>
      <c r="I7" s="7" t="s">
        <v>90</v>
      </c>
      <c r="J7" s="7">
        <f>+(J5-0.75*J6)/0.75</f>
        <v>17.521953435136865</v>
      </c>
      <c r="K7" s="7" t="s">
        <v>40</v>
      </c>
    </row>
    <row r="8" spans="1:14" x14ac:dyDescent="0.3">
      <c r="A8" s="2" t="s">
        <v>51</v>
      </c>
      <c r="B8" s="100" t="s">
        <v>52</v>
      </c>
      <c r="C8" s="101"/>
      <c r="E8" s="2" t="s">
        <v>59</v>
      </c>
      <c r="F8" s="6">
        <v>30</v>
      </c>
      <c r="G8" s="2" t="s">
        <v>12</v>
      </c>
      <c r="I8" s="2" t="s">
        <v>69</v>
      </c>
      <c r="J8" s="6">
        <v>10</v>
      </c>
      <c r="K8" s="2" t="s">
        <v>70</v>
      </c>
    </row>
    <row r="9" spans="1:14" x14ac:dyDescent="0.3">
      <c r="A9" s="2"/>
      <c r="B9" s="2"/>
      <c r="C9" s="2"/>
      <c r="E9" s="2" t="s">
        <v>60</v>
      </c>
      <c r="F9" s="3">
        <v>2.5</v>
      </c>
      <c r="G9" s="2" t="s">
        <v>12</v>
      </c>
      <c r="I9" s="2" t="s">
        <v>71</v>
      </c>
      <c r="J9" s="2">
        <f>0.00785*J8^2</f>
        <v>0.78499999999999992</v>
      </c>
      <c r="K9" s="2" t="s">
        <v>68</v>
      </c>
    </row>
    <row r="10" spans="1:14" x14ac:dyDescent="0.3">
      <c r="E10" s="2" t="s">
        <v>11</v>
      </c>
      <c r="F10" s="5">
        <f>+ROUNDUP((F4*100000/0.145/B16/F8)^0.5+F9,0)</f>
        <v>45</v>
      </c>
      <c r="G10" s="2" t="s">
        <v>12</v>
      </c>
      <c r="I10" s="5" t="s">
        <v>91</v>
      </c>
      <c r="J10" s="5">
        <f>+F13*J9*2*B17/J7/1000</f>
        <v>10.800610828042744</v>
      </c>
      <c r="K10" s="2" t="s">
        <v>12</v>
      </c>
    </row>
    <row r="11" spans="1:14" x14ac:dyDescent="0.3">
      <c r="A11" s="7" t="str">
        <f>+'losa horm'!A12</f>
        <v>Cm</v>
      </c>
      <c r="B11" s="7">
        <f>+'losa horm'!B12</f>
        <v>0.70279999999999998</v>
      </c>
      <c r="C11" s="7" t="str">
        <f>+'losa horm'!C12</f>
        <v>t/m2</v>
      </c>
      <c r="E11" s="2" t="s">
        <v>64</v>
      </c>
      <c r="F11" s="6">
        <v>33</v>
      </c>
      <c r="G11" s="2" t="s">
        <v>12</v>
      </c>
      <c r="I11" s="35" t="s">
        <v>92</v>
      </c>
      <c r="J11" s="35">
        <f>ROUNDUP(MIN(F13/4,6*F16/10,10,J10),0)</f>
        <v>8</v>
      </c>
      <c r="K11" s="26" t="s">
        <v>12</v>
      </c>
    </row>
    <row r="12" spans="1:14" x14ac:dyDescent="0.3">
      <c r="A12" s="7" t="s">
        <v>53</v>
      </c>
      <c r="B12" s="7">
        <f>+IF(B8="Vivienda",0.2,IF(B8="Oficina",0.25,IF(B8="Pesada",0.48,0.35)))</f>
        <v>0.2</v>
      </c>
      <c r="C12" s="7" t="s">
        <v>33</v>
      </c>
      <c r="E12" s="2" t="s">
        <v>65</v>
      </c>
      <c r="F12" s="2">
        <f>+F11/F8</f>
        <v>1.1000000000000001</v>
      </c>
      <c r="G12" s="15" t="str">
        <f>+IF(F12&lt;1.1,"NO",IF(F12&gt;1.6,"NO","OK"))</f>
        <v>OK</v>
      </c>
      <c r="I12" s="2" t="s">
        <v>93</v>
      </c>
      <c r="J12" s="5">
        <f>2*F11</f>
        <v>66</v>
      </c>
      <c r="K12" s="2" t="s">
        <v>12</v>
      </c>
    </row>
    <row r="13" spans="1:14" x14ac:dyDescent="0.3">
      <c r="A13" s="9" t="s">
        <v>54</v>
      </c>
      <c r="B13" s="9">
        <f>+B11*1.2+B12*1.6</f>
        <v>1.1633599999999999</v>
      </c>
      <c r="C13" s="9" t="s">
        <v>33</v>
      </c>
      <c r="E13" s="2" t="s">
        <v>66</v>
      </c>
      <c r="F13" s="2">
        <f>+F11-F9-J8/10-F16/20</f>
        <v>28.7</v>
      </c>
      <c r="G13" s="2" t="s">
        <v>12</v>
      </c>
      <c r="I13" s="5" t="s">
        <v>94</v>
      </c>
      <c r="J13" s="5">
        <f>+(F2-J17-J12/50)*100</f>
        <v>513</v>
      </c>
      <c r="K13" s="2" t="s">
        <v>12</v>
      </c>
    </row>
    <row r="14" spans="1:14" x14ac:dyDescent="0.3">
      <c r="E14" s="2" t="s">
        <v>126</v>
      </c>
      <c r="F14" s="2">
        <f>+F11-F13</f>
        <v>4.3000000000000007</v>
      </c>
      <c r="G14" s="2" t="s">
        <v>12</v>
      </c>
      <c r="I14" s="26" t="s">
        <v>92</v>
      </c>
      <c r="J14" s="35">
        <f>+ROUNDUP(MIN(F13/2,8*F16/10,15),0)</f>
        <v>13</v>
      </c>
      <c r="K14" s="26" t="s">
        <v>12</v>
      </c>
    </row>
    <row r="15" spans="1:14" x14ac:dyDescent="0.3">
      <c r="A15" s="98" t="s">
        <v>79</v>
      </c>
      <c r="B15" s="98"/>
      <c r="C15" s="13" t="s">
        <v>80</v>
      </c>
      <c r="E15" s="2" t="s">
        <v>67</v>
      </c>
      <c r="F15" s="2">
        <f>14*F8*F13/B17</f>
        <v>2.87</v>
      </c>
      <c r="G15" s="2" t="s">
        <v>68</v>
      </c>
      <c r="I15" s="2"/>
      <c r="J15" s="2"/>
      <c r="K15" s="2"/>
    </row>
    <row r="16" spans="1:14" x14ac:dyDescent="0.3">
      <c r="A16" s="2" t="s">
        <v>61</v>
      </c>
      <c r="B16" s="14">
        <v>210</v>
      </c>
      <c r="C16" s="2" t="s">
        <v>62</v>
      </c>
      <c r="E16" s="2" t="s">
        <v>69</v>
      </c>
      <c r="F16" s="6">
        <v>16</v>
      </c>
      <c r="G16" s="2" t="s">
        <v>70</v>
      </c>
      <c r="I16" s="2"/>
      <c r="J16" s="2"/>
      <c r="K16" s="2"/>
    </row>
    <row r="17" spans="1:11" x14ac:dyDescent="0.3">
      <c r="A17" s="2" t="s">
        <v>63</v>
      </c>
      <c r="B17" s="14">
        <v>4200</v>
      </c>
      <c r="C17" s="2" t="s">
        <v>62</v>
      </c>
      <c r="E17" s="2" t="s">
        <v>71</v>
      </c>
      <c r="F17" s="2">
        <f>0.00785*F16^2</f>
        <v>2.0095999999999998</v>
      </c>
      <c r="G17" s="2" t="s">
        <v>68</v>
      </c>
      <c r="I17" s="2" t="s">
        <v>149</v>
      </c>
      <c r="J17" s="2">
        <f>+'COL horm'!F9/100</f>
        <v>0.3</v>
      </c>
      <c r="K17" s="2" t="s">
        <v>5</v>
      </c>
    </row>
    <row r="18" spans="1:11" x14ac:dyDescent="0.3">
      <c r="E18" s="2" t="s">
        <v>72</v>
      </c>
      <c r="F18" s="5">
        <f>MAX(INT(F15/F17),2)</f>
        <v>2</v>
      </c>
      <c r="G18" s="2" t="s">
        <v>7</v>
      </c>
      <c r="I18" s="2" t="s">
        <v>84</v>
      </c>
      <c r="J18" s="2">
        <f>1.25*F21*B17*(F13-1.25*F21*B17/1.7/B16/F8)/100000</f>
        <v>18.833208734117648</v>
      </c>
      <c r="K18" s="2" t="s">
        <v>55</v>
      </c>
    </row>
    <row r="19" spans="1:11" x14ac:dyDescent="0.3">
      <c r="E19" s="7" t="s">
        <v>73</v>
      </c>
      <c r="F19" s="7">
        <f>30*F4/F13</f>
        <v>16.83379389527326</v>
      </c>
      <c r="G19" s="7" t="s">
        <v>68</v>
      </c>
      <c r="I19" s="2" t="s">
        <v>85</v>
      </c>
      <c r="J19" s="2">
        <f>1.25*F29*B17*(F13-1.25*F29*B17/1.7/B16/F8)/100000</f>
        <v>14.426244592941176</v>
      </c>
      <c r="K19" s="2" t="s">
        <v>55</v>
      </c>
    </row>
    <row r="20" spans="1:11" x14ac:dyDescent="0.3">
      <c r="A20" s="7" t="s">
        <v>78</v>
      </c>
      <c r="B20" s="97">
        <f>0.85*0.85*B16/B17*(6100/(6100+B17))</f>
        <v>2.1394417475728154E-2</v>
      </c>
      <c r="C20" s="97"/>
      <c r="E20" s="2" t="s">
        <v>72</v>
      </c>
      <c r="F20" s="5">
        <f>+INT((F19-F18*F17)/F17)+1</f>
        <v>7</v>
      </c>
      <c r="G20" s="2" t="s">
        <v>7</v>
      </c>
    </row>
    <row r="21" spans="1:11" x14ac:dyDescent="0.3">
      <c r="A21" s="7" t="s">
        <v>81</v>
      </c>
      <c r="B21" s="97">
        <f>+IF(C15="Alta",0.5*B20,0.75*B20)</f>
        <v>1.0697208737864077E-2</v>
      </c>
      <c r="C21" s="97"/>
      <c r="E21" s="9" t="s">
        <v>74</v>
      </c>
      <c r="F21" s="9">
        <f>+(F18+F20)*F17</f>
        <v>18.086399999999998</v>
      </c>
      <c r="G21" s="9" t="s">
        <v>68</v>
      </c>
    </row>
    <row r="22" spans="1:11" x14ac:dyDescent="0.3">
      <c r="E22" s="2" t="s">
        <v>82</v>
      </c>
      <c r="F22" s="16">
        <f>+F21/F8/F11</f>
        <v>1.8269090909090908E-2</v>
      </c>
      <c r="G22" s="15" t="str">
        <f>+IF(F22&lt;B21,"OK","NO")</f>
        <v>NO</v>
      </c>
    </row>
    <row r="23" spans="1:11" x14ac:dyDescent="0.3">
      <c r="E23" s="2"/>
      <c r="F23" s="2"/>
      <c r="G23" s="2"/>
    </row>
    <row r="24" spans="1:11" x14ac:dyDescent="0.3">
      <c r="E24" s="2" t="s">
        <v>75</v>
      </c>
      <c r="F24" s="2">
        <f>+(F8-2*F9-2-(F18+F20)*F16/10)/(F18+F20-1)</f>
        <v>1.075</v>
      </c>
      <c r="G24" s="15" t="str">
        <f>+IF(F24&gt;MAX(F16/10,2.54),"OK","NO")</f>
        <v>NO</v>
      </c>
    </row>
    <row r="25" spans="1:11" x14ac:dyDescent="0.3">
      <c r="E25" s="7" t="s">
        <v>76</v>
      </c>
      <c r="F25" s="7">
        <f>0.67*F21</f>
        <v>12.117887999999999</v>
      </c>
      <c r="G25" s="7" t="s">
        <v>68</v>
      </c>
    </row>
    <row r="26" spans="1:11" x14ac:dyDescent="0.3">
      <c r="E26" s="2" t="s">
        <v>69</v>
      </c>
      <c r="F26" s="6">
        <v>16</v>
      </c>
      <c r="G26" s="2" t="s">
        <v>70</v>
      </c>
    </row>
    <row r="27" spans="1:11" x14ac:dyDescent="0.3">
      <c r="E27" s="2" t="s">
        <v>71</v>
      </c>
      <c r="F27" s="2">
        <f>0.00785*F26^2</f>
        <v>2.0095999999999998</v>
      </c>
      <c r="G27" s="2" t="s">
        <v>68</v>
      </c>
    </row>
    <row r="28" spans="1:11" x14ac:dyDescent="0.3">
      <c r="E28" s="2" t="s">
        <v>72</v>
      </c>
      <c r="F28" s="5">
        <f>+INT(F25/F27)</f>
        <v>6</v>
      </c>
      <c r="G28" s="2" t="s">
        <v>7</v>
      </c>
    </row>
    <row r="29" spans="1:11" x14ac:dyDescent="0.3">
      <c r="E29" s="38" t="s">
        <v>74</v>
      </c>
      <c r="F29" s="38">
        <f>+F28*F27</f>
        <v>12.057599999999999</v>
      </c>
      <c r="G29" s="38" t="s">
        <v>68</v>
      </c>
    </row>
    <row r="30" spans="1:11" x14ac:dyDescent="0.3">
      <c r="E30" s="2" t="s">
        <v>82</v>
      </c>
      <c r="F30" s="16">
        <f>+F29/F8/F11</f>
        <v>1.2179393939393938E-2</v>
      </c>
      <c r="G30" s="15" t="str">
        <f>+IF(F30&gt;F22/2,"OK","NO")</f>
        <v>OK</v>
      </c>
    </row>
    <row r="31" spans="1:11" x14ac:dyDescent="0.3">
      <c r="E31" s="2" t="s">
        <v>77</v>
      </c>
      <c r="F31" s="2">
        <f>+F21*B17/0.85/B16/F8</f>
        <v>14.185411764705881</v>
      </c>
      <c r="G31" s="2" t="s">
        <v>12</v>
      </c>
    </row>
    <row r="32" spans="1:11" x14ac:dyDescent="0.3">
      <c r="E32" s="7" t="s">
        <v>95</v>
      </c>
      <c r="F32" s="18">
        <f>+(2*F5/B13)^0.33333</f>
        <v>2.9393324678247161</v>
      </c>
      <c r="G32" s="7" t="s">
        <v>5</v>
      </c>
    </row>
  </sheetData>
  <mergeCells count="9">
    <mergeCell ref="B20:C20"/>
    <mergeCell ref="A15:B15"/>
    <mergeCell ref="B21:C21"/>
    <mergeCell ref="I2:K2"/>
    <mergeCell ref="A1:C1"/>
    <mergeCell ref="B8:C8"/>
    <mergeCell ref="E7:G7"/>
    <mergeCell ref="F6:G6"/>
    <mergeCell ref="E1:K1"/>
  </mergeCells>
  <dataValidations count="4">
    <dataValidation type="list" allowBlank="1" showInputMessage="1" showErrorMessage="1" sqref="B8" xr:uid="{9B9FB88E-3DBC-455A-9E7F-396799231AAF}">
      <formula1>"Vivienda,Oficina,Pesada,Parqueaderos"</formula1>
    </dataValidation>
    <dataValidation type="list" allowBlank="1" showInputMessage="1" showErrorMessage="1" sqref="F16 F26" xr:uid="{658ADA41-D1DC-4C0C-9E94-EC2947B7031B}">
      <formula1>"10,12,14,16,18,20,22,25,28,32,35"</formula1>
    </dataValidation>
    <dataValidation type="list" allowBlank="1" showInputMessage="1" showErrorMessage="1" sqref="C15" xr:uid="{AB3F6E97-FFE5-4DD1-9621-821497502804}">
      <formula1>"Alta,Media"</formula1>
    </dataValidation>
    <dataValidation type="list" allowBlank="1" showInputMessage="1" showErrorMessage="1" sqref="J8" xr:uid="{6F048290-F854-4A47-B210-E8D15A95D6B6}">
      <formula1>"10,12"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411E6-56C2-4707-BA24-A831339A3862}">
  <dimension ref="A1"/>
  <sheetViews>
    <sheetView workbookViewId="0">
      <selection activeCell="K10" sqref="K10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AF484-C1B6-4E8B-981C-52E93C93947E}">
  <dimension ref="A1:W41"/>
  <sheetViews>
    <sheetView zoomScale="110" zoomScaleNormal="110" workbookViewId="0">
      <selection activeCell="E12" sqref="E12:G12"/>
    </sheetView>
  </sheetViews>
  <sheetFormatPr baseColWidth="10" defaultRowHeight="14.4" x14ac:dyDescent="0.3"/>
  <cols>
    <col min="1" max="1" width="8.77734375" style="1" customWidth="1"/>
    <col min="2" max="2" width="8.6640625" style="1" customWidth="1"/>
    <col min="3" max="3" width="8.33203125" style="1" customWidth="1"/>
    <col min="4" max="4" width="2.21875" style="1" customWidth="1"/>
    <col min="5" max="5" width="7.6640625" style="1" customWidth="1"/>
    <col min="6" max="6" width="8.44140625" style="1" customWidth="1"/>
    <col min="7" max="7" width="7.88671875" style="1" customWidth="1"/>
    <col min="8" max="8" width="1.109375" style="1" customWidth="1"/>
    <col min="9" max="9" width="8.109375" style="1" customWidth="1"/>
    <col min="10" max="11" width="7.6640625" style="1" customWidth="1"/>
    <col min="12" max="12" width="1.44140625" style="1" customWidth="1"/>
    <col min="13" max="13" width="7.88671875" style="1" customWidth="1"/>
    <col min="14" max="14" width="9.88671875" style="1" customWidth="1"/>
    <col min="15" max="15" width="9.33203125" style="1" customWidth="1"/>
    <col min="16" max="22" width="7.88671875" style="1" customWidth="1"/>
    <col min="23" max="16384" width="11.5546875" style="1"/>
  </cols>
  <sheetData>
    <row r="1" spans="1:19" x14ac:dyDescent="0.3">
      <c r="A1" s="90" t="s">
        <v>0</v>
      </c>
      <c r="B1" s="90"/>
      <c r="C1" s="90"/>
      <c r="E1" s="90" t="s">
        <v>96</v>
      </c>
      <c r="F1" s="90"/>
      <c r="G1" s="90"/>
      <c r="H1" s="90"/>
      <c r="I1" s="90"/>
      <c r="J1" s="90"/>
      <c r="K1" s="90"/>
    </row>
    <row r="2" spans="1:19" x14ac:dyDescent="0.3">
      <c r="A2" s="2" t="s">
        <v>1</v>
      </c>
      <c r="B2" s="2">
        <f>+'losa horm'!B2</f>
        <v>3.96</v>
      </c>
      <c r="C2" s="2" t="s">
        <v>5</v>
      </c>
      <c r="E2" s="17" t="s">
        <v>97</v>
      </c>
      <c r="F2" s="17">
        <f>+(B2/2+B3/2)*(B4/2+B5/2)</f>
        <v>23.454900000000002</v>
      </c>
      <c r="G2" s="17" t="s">
        <v>42</v>
      </c>
      <c r="I2" s="17" t="s">
        <v>111</v>
      </c>
      <c r="J2" s="20">
        <f>+F10*2+(F11-2)*2</f>
        <v>8</v>
      </c>
      <c r="K2" s="17" t="s">
        <v>7</v>
      </c>
      <c r="N2" s="7"/>
      <c r="O2" s="7" t="s">
        <v>123</v>
      </c>
      <c r="P2" s="7" t="s">
        <v>124</v>
      </c>
    </row>
    <row r="3" spans="1:19" x14ac:dyDescent="0.3">
      <c r="A3" s="2" t="s">
        <v>2</v>
      </c>
      <c r="B3" s="2">
        <f>+'losa horm'!B3</f>
        <v>6.75</v>
      </c>
      <c r="C3" s="2" t="s">
        <v>5</v>
      </c>
      <c r="E3" s="2" t="s">
        <v>99</v>
      </c>
      <c r="F3" s="13">
        <v>1.3</v>
      </c>
      <c r="G3" s="2"/>
      <c r="I3" s="2" t="s">
        <v>112</v>
      </c>
      <c r="J3" s="2">
        <f>4*0.00785*F12^2+(J2-4)*0.00785*F13^2</f>
        <v>9.0431999999999988</v>
      </c>
      <c r="K3" s="2" t="s">
        <v>68</v>
      </c>
      <c r="N3" s="8">
        <v>1</v>
      </c>
      <c r="O3" s="2">
        <v>0</v>
      </c>
      <c r="P3" s="2">
        <f>+(0.85*B14*(F6-J3)+J3*B15)/1000</f>
        <v>197.0172288</v>
      </c>
      <c r="Q3" s="1">
        <f>+P3*0.8</f>
        <v>157.61378304000002</v>
      </c>
    </row>
    <row r="4" spans="1:19" x14ac:dyDescent="0.3">
      <c r="A4" s="2" t="s">
        <v>3</v>
      </c>
      <c r="B4" s="2">
        <f>+'losa horm'!B4</f>
        <v>4.5599999999999996</v>
      </c>
      <c r="C4" s="2" t="s">
        <v>5</v>
      </c>
      <c r="E4" s="2" t="s">
        <v>98</v>
      </c>
      <c r="F4" s="2">
        <f>+F2*B12*B6*F3/0.85</f>
        <v>83.464565184000008</v>
      </c>
      <c r="G4" s="2" t="s">
        <v>40</v>
      </c>
      <c r="I4" s="2" t="s">
        <v>114</v>
      </c>
      <c r="J4" s="2">
        <f>+F8-2*F17-F14/10</f>
        <v>24</v>
      </c>
      <c r="K4" s="2" t="s">
        <v>12</v>
      </c>
      <c r="N4" s="8">
        <v>2</v>
      </c>
      <c r="O4" s="2">
        <f>+((2*0.00785*F12^2*B15*(F9/2-O8)+(F10-2)*0.00785*F13^2*B15*(F9/2-O8))*2+0.85*B14*F8*O9*(F9/2-O9/2))/100000</f>
        <v>9.1215501299999993</v>
      </c>
      <c r="P4" s="2">
        <f>+P3/3</f>
        <v>65.672409599999995</v>
      </c>
    </row>
    <row r="5" spans="1:19" x14ac:dyDescent="0.3">
      <c r="A5" s="2" t="s">
        <v>4</v>
      </c>
      <c r="B5" s="2">
        <f>+'losa horm'!B5</f>
        <v>4.2</v>
      </c>
      <c r="C5" s="2" t="s">
        <v>5</v>
      </c>
      <c r="E5" s="7" t="s">
        <v>100</v>
      </c>
      <c r="F5" s="8">
        <f>3*F4*1000/(0.85*B14+0.012*B15)</f>
        <v>1093.899936880734</v>
      </c>
      <c r="G5" s="7" t="s">
        <v>68</v>
      </c>
      <c r="I5" s="2" t="s">
        <v>115</v>
      </c>
      <c r="J5" s="2">
        <f>+F9-2*F17-F14/10</f>
        <v>24</v>
      </c>
      <c r="K5" s="2" t="s">
        <v>12</v>
      </c>
      <c r="N5" s="8">
        <v>3</v>
      </c>
      <c r="O5" s="2">
        <v>0</v>
      </c>
      <c r="P5" s="2">
        <f>+J3*B15/1000*-1</f>
        <v>-37.981439999999992</v>
      </c>
    </row>
    <row r="6" spans="1:19" x14ac:dyDescent="0.3">
      <c r="A6" s="2" t="s">
        <v>6</v>
      </c>
      <c r="B6" s="5">
        <f>+'losa horm'!B6</f>
        <v>2</v>
      </c>
      <c r="C6" s="2" t="s">
        <v>7</v>
      </c>
      <c r="E6" s="7" t="s">
        <v>100</v>
      </c>
      <c r="F6" s="8">
        <f>+F8*F9</f>
        <v>900</v>
      </c>
      <c r="G6" s="7" t="s">
        <v>68</v>
      </c>
      <c r="I6" s="2" t="s">
        <v>116</v>
      </c>
      <c r="J6" s="2">
        <f>+J4*J5</f>
        <v>576</v>
      </c>
      <c r="K6" s="2" t="s">
        <v>68</v>
      </c>
    </row>
    <row r="7" spans="1:19" x14ac:dyDescent="0.3">
      <c r="A7" s="2" t="s">
        <v>8</v>
      </c>
      <c r="B7" s="2">
        <f>+'losa horm'!B7</f>
        <v>3.4</v>
      </c>
      <c r="C7" s="2" t="s">
        <v>5</v>
      </c>
      <c r="E7" s="90" t="s">
        <v>101</v>
      </c>
      <c r="F7" s="90"/>
      <c r="G7" s="90"/>
      <c r="I7" s="2"/>
      <c r="J7" s="2"/>
      <c r="K7" s="2"/>
      <c r="N7" s="2" t="s">
        <v>66</v>
      </c>
      <c r="O7" s="2">
        <f>+F9-F17-F14/10-F12/20</f>
        <v>25.9</v>
      </c>
      <c r="P7" s="2" t="s">
        <v>12</v>
      </c>
    </row>
    <row r="8" spans="1:19" x14ac:dyDescent="0.3">
      <c r="A8" s="2"/>
      <c r="B8" s="2"/>
      <c r="C8" s="2"/>
      <c r="E8" s="2" t="s">
        <v>102</v>
      </c>
      <c r="F8" s="6">
        <v>30</v>
      </c>
      <c r="G8" s="2" t="s">
        <v>12</v>
      </c>
      <c r="I8" s="90" t="s">
        <v>113</v>
      </c>
      <c r="J8" s="90"/>
      <c r="K8" s="90"/>
      <c r="N8" s="2" t="s">
        <v>126</v>
      </c>
      <c r="O8" s="2">
        <f>+F9-O7</f>
        <v>4.1000000000000014</v>
      </c>
      <c r="P8" s="2" t="s">
        <v>12</v>
      </c>
    </row>
    <row r="9" spans="1:19" x14ac:dyDescent="0.3">
      <c r="E9" s="2" t="s">
        <v>103</v>
      </c>
      <c r="F9" s="6">
        <v>30</v>
      </c>
      <c r="G9" s="2" t="s">
        <v>12</v>
      </c>
      <c r="I9" s="2" t="s">
        <v>82</v>
      </c>
      <c r="J9" s="16">
        <f>+J3/F6</f>
        <v>1.0047999999999998E-2</v>
      </c>
      <c r="K9" s="15" t="str">
        <f>+IF(J9&gt;1%,"OK","NO")</f>
        <v>OK</v>
      </c>
      <c r="N9" s="2" t="s">
        <v>125</v>
      </c>
      <c r="O9" s="2">
        <f>+O7*0.003/0.005</f>
        <v>15.539999999999997</v>
      </c>
      <c r="P9" s="2" t="s">
        <v>12</v>
      </c>
    </row>
    <row r="10" spans="1:19" x14ac:dyDescent="0.3">
      <c r="A10" s="7" t="str">
        <f>+'losa horm'!A12</f>
        <v>Cm</v>
      </c>
      <c r="B10" s="7">
        <f>+'losa horm'!B12</f>
        <v>0.70279999999999998</v>
      </c>
      <c r="C10" s="7" t="str">
        <f>+'losa horm'!C12</f>
        <v>t/m2</v>
      </c>
      <c r="E10" s="2" t="s">
        <v>104</v>
      </c>
      <c r="F10" s="6">
        <v>3</v>
      </c>
      <c r="G10" s="2" t="s">
        <v>7</v>
      </c>
      <c r="I10" s="2" t="s">
        <v>117</v>
      </c>
      <c r="J10" s="2">
        <f>+(J4-F14/10-2*F12/10-(F10-2)*F13/10)/(F10-1)</f>
        <v>9.7000000000000011</v>
      </c>
      <c r="K10" s="15" t="str">
        <f>+IF(J10&lt;15,"OK","NO")</f>
        <v>OK</v>
      </c>
    </row>
    <row r="11" spans="1:19" x14ac:dyDescent="0.3">
      <c r="A11" s="7" t="s">
        <v>53</v>
      </c>
      <c r="B11" s="7">
        <f>+'VIGAS horm'!B12</f>
        <v>0.2</v>
      </c>
      <c r="C11" s="7" t="s">
        <v>33</v>
      </c>
      <c r="E11" s="2" t="s">
        <v>105</v>
      </c>
      <c r="F11" s="6">
        <v>3</v>
      </c>
      <c r="G11" s="2" t="s">
        <v>7</v>
      </c>
      <c r="I11" s="2" t="s">
        <v>118</v>
      </c>
      <c r="J11" s="2">
        <f>+(J5-F14/10-2*F12/10-(F11-2)*F13/10)/(F11-1)</f>
        <v>9.7000000000000011</v>
      </c>
      <c r="K11" s="15" t="str">
        <f>+IF(J11&lt;15,"OK","NO")</f>
        <v>OK</v>
      </c>
      <c r="M11" s="2" t="s">
        <v>135</v>
      </c>
      <c r="N11" s="2">
        <v>5.3</v>
      </c>
    </row>
    <row r="12" spans="1:19" x14ac:dyDescent="0.3">
      <c r="A12" s="9" t="s">
        <v>54</v>
      </c>
      <c r="B12" s="9">
        <f>+B10*1.2+B11*1.6</f>
        <v>1.1633599999999999</v>
      </c>
      <c r="C12" s="9" t="s">
        <v>33</v>
      </c>
      <c r="E12" s="2" t="s">
        <v>106</v>
      </c>
      <c r="F12" s="6">
        <v>12</v>
      </c>
      <c r="G12" s="2" t="s">
        <v>70</v>
      </c>
      <c r="I12" s="91" t="s">
        <v>119</v>
      </c>
      <c r="J12" s="92"/>
      <c r="K12" s="93"/>
      <c r="M12" s="2" t="s">
        <v>136</v>
      </c>
      <c r="N12" s="2">
        <v>4</v>
      </c>
    </row>
    <row r="13" spans="1:19" x14ac:dyDescent="0.3">
      <c r="E13" s="2" t="s">
        <v>107</v>
      </c>
      <c r="F13" s="6">
        <v>12</v>
      </c>
      <c r="G13" s="2" t="s">
        <v>70</v>
      </c>
      <c r="I13" s="2" t="s">
        <v>120</v>
      </c>
      <c r="J13" s="2">
        <f>+MAX(0.3*J4*F15*B14/B15*(F6/J6-1),0.09*J4*F15*B14/B15)</f>
        <v>1.6199999999999997</v>
      </c>
      <c r="K13" s="2" t="s">
        <v>68</v>
      </c>
      <c r="M13" s="2" t="s">
        <v>137</v>
      </c>
      <c r="N13" s="2">
        <v>3.2</v>
      </c>
    </row>
    <row r="14" spans="1:19" x14ac:dyDescent="0.3">
      <c r="A14" s="2" t="s">
        <v>61</v>
      </c>
      <c r="B14" s="5">
        <f>+'VIGAS horm'!B16</f>
        <v>210</v>
      </c>
      <c r="C14" s="2" t="s">
        <v>62</v>
      </c>
      <c r="E14" s="2" t="s">
        <v>108</v>
      </c>
      <c r="F14" s="6">
        <v>10</v>
      </c>
      <c r="G14" s="2" t="s">
        <v>70</v>
      </c>
      <c r="I14" s="2" t="s">
        <v>121</v>
      </c>
      <c r="J14" s="5">
        <f>ROUNDUP(J13/0.00785/F14^2,0)-2</f>
        <v>1</v>
      </c>
      <c r="K14" s="2" t="s">
        <v>7</v>
      </c>
    </row>
    <row r="15" spans="1:19" x14ac:dyDescent="0.3">
      <c r="A15" s="2" t="s">
        <v>63</v>
      </c>
      <c r="B15" s="5">
        <f>+'VIGAS horm'!B17</f>
        <v>4200</v>
      </c>
      <c r="C15" s="2" t="s">
        <v>62</v>
      </c>
      <c r="E15" s="2" t="s">
        <v>109</v>
      </c>
      <c r="F15" s="6">
        <v>8</v>
      </c>
      <c r="G15" s="15" t="str">
        <f>+IF(F15&lt;=J15,"OK","NO")</f>
        <v>OK</v>
      </c>
      <c r="I15" s="2" t="s">
        <v>122</v>
      </c>
      <c r="J15" s="5">
        <f>+ROUNDUP(MIN(6*F12/10,10),0)</f>
        <v>8</v>
      </c>
      <c r="K15" s="2" t="s">
        <v>12</v>
      </c>
      <c r="M15" s="104" t="s">
        <v>130</v>
      </c>
      <c r="N15" s="104"/>
      <c r="O15" s="104"/>
      <c r="P15" s="104"/>
      <c r="Q15" s="104"/>
      <c r="R15" s="104"/>
      <c r="S15" s="104"/>
    </row>
    <row r="16" spans="1:19" x14ac:dyDescent="0.3">
      <c r="E16" s="2" t="s">
        <v>110</v>
      </c>
      <c r="F16" s="6">
        <v>1</v>
      </c>
      <c r="G16" s="15" t="str">
        <f>+IF(F16&gt;=J14,"OK","NO")</f>
        <v>OK</v>
      </c>
      <c r="I16" s="2"/>
      <c r="J16" s="2"/>
      <c r="K16" s="2"/>
      <c r="M16" s="2" t="s">
        <v>131</v>
      </c>
      <c r="N16" s="2">
        <f>+'VIGAS horm'!F21*B15*1.25/1000</f>
        <v>94.953599999999994</v>
      </c>
      <c r="O16" s="2" t="s">
        <v>40</v>
      </c>
      <c r="P16" s="104" t="s">
        <v>143</v>
      </c>
      <c r="Q16" s="104"/>
      <c r="R16" s="104"/>
      <c r="S16" s="104"/>
    </row>
    <row r="17" spans="1:23" x14ac:dyDescent="0.3">
      <c r="A17" s="2" t="s">
        <v>138</v>
      </c>
      <c r="B17" s="111" t="s">
        <v>135</v>
      </c>
      <c r="C17" s="111"/>
      <c r="E17" s="2" t="s">
        <v>60</v>
      </c>
      <c r="F17" s="19">
        <v>2.5</v>
      </c>
      <c r="G17" s="2" t="s">
        <v>12</v>
      </c>
      <c r="M17" s="2" t="s">
        <v>132</v>
      </c>
      <c r="N17" s="2">
        <f>+'VIGAS horm'!F29*B15*1.25/1000</f>
        <v>63.302399999999992</v>
      </c>
      <c r="O17" s="2" t="s">
        <v>40</v>
      </c>
      <c r="P17" s="26"/>
      <c r="Q17" s="26" t="s">
        <v>144</v>
      </c>
      <c r="R17" s="26" t="s">
        <v>145</v>
      </c>
      <c r="S17" s="26"/>
    </row>
    <row r="18" spans="1:23" x14ac:dyDescent="0.3">
      <c r="E18" s="2"/>
      <c r="F18" s="2"/>
      <c r="G18" s="2"/>
      <c r="I18" s="91" t="s">
        <v>127</v>
      </c>
      <c r="J18" s="92"/>
      <c r="K18" s="93"/>
      <c r="M18" s="2" t="s">
        <v>133</v>
      </c>
      <c r="N18" s="2">
        <f>+J20/B7</f>
        <v>9.7821921550173005</v>
      </c>
      <c r="O18" s="2" t="s">
        <v>40</v>
      </c>
      <c r="P18" s="26" t="s">
        <v>146</v>
      </c>
      <c r="Q18" s="2">
        <f>+N19</f>
        <v>148.47380784498267</v>
      </c>
      <c r="R18" s="2">
        <f>+N20</f>
        <v>58.755287017425061</v>
      </c>
      <c r="S18" s="15" t="str">
        <f>+IF(R18&gt;Q18,"OK","NO")</f>
        <v>NO</v>
      </c>
    </row>
    <row r="19" spans="1:23" x14ac:dyDescent="0.3">
      <c r="E19" s="2"/>
      <c r="F19" s="2"/>
      <c r="G19" s="2"/>
      <c r="I19" s="22" t="s">
        <v>128</v>
      </c>
      <c r="J19" s="2">
        <f>+O4*2</f>
        <v>18.243100259999999</v>
      </c>
      <c r="K19" s="106">
        <f>+J19/J20</f>
        <v>0.54850872263609929</v>
      </c>
      <c r="M19" s="7" t="s">
        <v>134</v>
      </c>
      <c r="N19" s="7">
        <f>+N16+N17-N18</f>
        <v>148.47380784498267</v>
      </c>
      <c r="O19" s="7" t="s">
        <v>40</v>
      </c>
      <c r="P19" s="26" t="s">
        <v>147</v>
      </c>
      <c r="Q19" s="5">
        <f>+'VIGAS horm'!F11</f>
        <v>33</v>
      </c>
      <c r="R19" s="5">
        <f>+F9</f>
        <v>30</v>
      </c>
      <c r="S19" s="15" t="str">
        <f>+IF(R19&gt;=Q19,"OK","NO")</f>
        <v>NO</v>
      </c>
    </row>
    <row r="20" spans="1:23" x14ac:dyDescent="0.3">
      <c r="I20" s="22" t="s">
        <v>129</v>
      </c>
      <c r="J20" s="2">
        <f>+'VIGAS horm'!J18+'VIGAS horm'!J19</f>
        <v>33.259453327058822</v>
      </c>
      <c r="K20" s="107"/>
      <c r="M20" s="7" t="s">
        <v>142</v>
      </c>
      <c r="N20" s="7">
        <f>+N24*B14^0.5*N25*0.85/1000</f>
        <v>58.755287017425061</v>
      </c>
      <c r="O20" s="7" t="s">
        <v>40</v>
      </c>
      <c r="P20" s="26" t="s">
        <v>148</v>
      </c>
      <c r="Q20" s="5">
        <f>20*'VIGAS horm'!F16/10</f>
        <v>32</v>
      </c>
      <c r="R20" s="5">
        <f>+F9</f>
        <v>30</v>
      </c>
      <c r="S20" s="15" t="str">
        <f>+IF(R20&gt;=Q20,"OK","NO")</f>
        <v>NO</v>
      </c>
    </row>
    <row r="21" spans="1:23" x14ac:dyDescent="0.3">
      <c r="I21" s="108" t="str">
        <f>+IF(K19&gt;1.2,"OK","NO")</f>
        <v>NO</v>
      </c>
      <c r="J21" s="109"/>
      <c r="K21" s="110"/>
      <c r="M21" s="2"/>
      <c r="N21" s="2"/>
      <c r="O21" s="2"/>
      <c r="P21" s="105" t="str">
        <f>+IF(S41=1,"OK","NO")</f>
        <v>NO</v>
      </c>
      <c r="Q21" s="105"/>
      <c r="R21" s="105"/>
      <c r="S21" s="105"/>
    </row>
    <row r="22" spans="1:23" x14ac:dyDescent="0.3">
      <c r="I22" s="2"/>
      <c r="J22" s="2"/>
      <c r="K22" s="2"/>
      <c r="M22" s="25" t="s">
        <v>77</v>
      </c>
      <c r="N22" s="2">
        <f>+IF(B17=M11,N11,IF(B17=M12,N12,N13))</f>
        <v>5.3</v>
      </c>
      <c r="O22" s="2"/>
    </row>
    <row r="23" spans="1:23" x14ac:dyDescent="0.3">
      <c r="M23" s="2" t="s">
        <v>139</v>
      </c>
      <c r="N23" s="112" t="str">
        <f>+IF(N26&lt;0.75*F8,"Baje","Mantenga")</f>
        <v>Mantenga</v>
      </c>
      <c r="O23" s="113"/>
    </row>
    <row r="24" spans="1:23" x14ac:dyDescent="0.3">
      <c r="M24" s="25" t="s">
        <v>141</v>
      </c>
      <c r="N24" s="13">
        <v>5.3</v>
      </c>
      <c r="O24" s="2"/>
    </row>
    <row r="25" spans="1:23" x14ac:dyDescent="0.3">
      <c r="M25" s="2" t="s">
        <v>116</v>
      </c>
      <c r="N25" s="2">
        <f>+(N26+F8)/2*F9</f>
        <v>900</v>
      </c>
      <c r="O25" s="2" t="s">
        <v>68</v>
      </c>
    </row>
    <row r="26" spans="1:23" x14ac:dyDescent="0.3">
      <c r="M26" s="2" t="s">
        <v>140</v>
      </c>
      <c r="N26" s="5">
        <f>+'VIGAS horm'!F8</f>
        <v>30</v>
      </c>
      <c r="O26" s="2" t="s">
        <v>12</v>
      </c>
    </row>
    <row r="28" spans="1:23" x14ac:dyDescent="0.3">
      <c r="P28" s="1" t="s">
        <v>248</v>
      </c>
      <c r="Q28" s="1" t="s">
        <v>249</v>
      </c>
      <c r="R28" s="1" t="s">
        <v>250</v>
      </c>
      <c r="S28" s="1" t="s">
        <v>251</v>
      </c>
      <c r="T28" s="1" t="s">
        <v>108</v>
      </c>
      <c r="U28" s="1" t="s">
        <v>75</v>
      </c>
      <c r="V28" s="1" t="s">
        <v>121</v>
      </c>
    </row>
    <row r="29" spans="1:23" x14ac:dyDescent="0.3">
      <c r="O29" s="1" t="s">
        <v>247</v>
      </c>
      <c r="P29" s="11">
        <v>5</v>
      </c>
      <c r="Q29" s="11">
        <v>5</v>
      </c>
      <c r="R29" s="11">
        <v>16</v>
      </c>
      <c r="S29" s="11">
        <v>14</v>
      </c>
      <c r="T29" s="11">
        <v>10</v>
      </c>
      <c r="U29" s="11">
        <v>10</v>
      </c>
      <c r="V29" s="11">
        <v>1</v>
      </c>
    </row>
    <row r="30" spans="1:23" x14ac:dyDescent="0.3">
      <c r="O30" s="1" t="s">
        <v>252</v>
      </c>
      <c r="P30" s="11">
        <v>4</v>
      </c>
      <c r="Q30" s="11">
        <v>3</v>
      </c>
      <c r="R30" s="11">
        <v>14</v>
      </c>
      <c r="S30" s="11">
        <v>12</v>
      </c>
      <c r="T30" s="11">
        <v>10</v>
      </c>
      <c r="U30" s="11">
        <v>9</v>
      </c>
      <c r="V30" s="11">
        <v>0</v>
      </c>
      <c r="W30" s="11"/>
    </row>
    <row r="31" spans="1:23" x14ac:dyDescent="0.3">
      <c r="O31" s="1" t="s">
        <v>253</v>
      </c>
      <c r="V31" s="1">
        <v>1</v>
      </c>
    </row>
    <row r="38" spans="19:19" x14ac:dyDescent="0.3">
      <c r="S38" s="11">
        <f>+IF(S18="OK",1,0)</f>
        <v>0</v>
      </c>
    </row>
    <row r="39" spans="19:19" x14ac:dyDescent="0.3">
      <c r="S39" s="11">
        <f>+IF(S19="OK",1,0)</f>
        <v>0</v>
      </c>
    </row>
    <row r="40" spans="19:19" x14ac:dyDescent="0.3">
      <c r="S40" s="11">
        <f>+IF(S20="OK",1,0)</f>
        <v>0</v>
      </c>
    </row>
    <row r="41" spans="19:19" x14ac:dyDescent="0.3">
      <c r="S41" s="11">
        <f>+S38*S39*S40</f>
        <v>0</v>
      </c>
    </row>
  </sheetData>
  <mergeCells count="13">
    <mergeCell ref="B17:C17"/>
    <mergeCell ref="N23:O23"/>
    <mergeCell ref="I8:K8"/>
    <mergeCell ref="I12:K12"/>
    <mergeCell ref="A1:C1"/>
    <mergeCell ref="E7:G7"/>
    <mergeCell ref="E1:K1"/>
    <mergeCell ref="P16:S16"/>
    <mergeCell ref="P21:S21"/>
    <mergeCell ref="M15:S15"/>
    <mergeCell ref="I18:K18"/>
    <mergeCell ref="K19:K20"/>
    <mergeCell ref="I21:K21"/>
  </mergeCells>
  <conditionalFormatting sqref="K19:K20">
    <cfRule type="cellIs" dxfId="12" priority="1" operator="lessThan">
      <formula>1.2</formula>
    </cfRule>
  </conditionalFormatting>
  <dataValidations count="3">
    <dataValidation type="list" allowBlank="1" showInputMessage="1" showErrorMessage="1" sqref="F12:F13" xr:uid="{1FB763CE-8F01-47CC-9ABB-C39C8F2468D7}">
      <formula1>"10,12,14,16,18,20,22,25,28,32,35"</formula1>
    </dataValidation>
    <dataValidation type="list" allowBlank="1" showInputMessage="1" showErrorMessage="1" sqref="F14" xr:uid="{3A3BB99A-6F0B-40B2-B717-FAABE37B3D55}">
      <formula1>"10,12"</formula1>
    </dataValidation>
    <dataValidation type="list" allowBlank="1" showInputMessage="1" showErrorMessage="1" sqref="B17:C17" xr:uid="{CCCEBE02-F811-4D5A-8BCF-73AD3834B7D6}">
      <formula1>"INT,MED,ESQ"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96379-F474-44AE-8A02-5F32C162D2D7}">
  <dimension ref="A1:AD51"/>
  <sheetViews>
    <sheetView topLeftCell="A13" zoomScaleNormal="100" workbookViewId="0">
      <selection activeCell="F30" sqref="F30"/>
    </sheetView>
  </sheetViews>
  <sheetFormatPr baseColWidth="10" defaultRowHeight="14.4" x14ac:dyDescent="0.3"/>
  <cols>
    <col min="1" max="2" width="8.88671875" customWidth="1"/>
    <col min="3" max="3" width="8.33203125" customWidth="1"/>
    <col min="4" max="4" width="1" customWidth="1"/>
    <col min="5" max="7" width="8.88671875" style="27" customWidth="1"/>
    <col min="8" max="8" width="0.5546875" style="27" customWidth="1"/>
    <col min="9" max="11" width="8.44140625" style="27" customWidth="1"/>
    <col min="12" max="12" width="0.5546875" style="27" customWidth="1"/>
    <col min="13" max="13" width="8.5546875" style="27" customWidth="1"/>
    <col min="14" max="15" width="8.5546875" customWidth="1"/>
    <col min="16" max="16" width="0.5546875" customWidth="1"/>
    <col min="17" max="19" width="8.5546875" customWidth="1"/>
    <col min="20" max="20" width="0.88671875" customWidth="1"/>
    <col min="21" max="22" width="9" style="27" customWidth="1"/>
    <col min="23" max="23" width="10.33203125" style="27" customWidth="1"/>
    <col min="24" max="24" width="0.6640625" customWidth="1"/>
    <col min="25" max="27" width="9" customWidth="1"/>
    <col min="28" max="28" width="1.33203125" customWidth="1"/>
    <col min="29" max="30" width="8.77734375" style="27" customWidth="1"/>
    <col min="31" max="32" width="8.77734375" customWidth="1"/>
  </cols>
  <sheetData>
    <row r="1" spans="1:30" x14ac:dyDescent="0.3">
      <c r="A1" s="90" t="s">
        <v>0</v>
      </c>
      <c r="B1" s="90"/>
      <c r="C1" s="90"/>
      <c r="E1" s="90" t="s">
        <v>150</v>
      </c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U1" s="120" t="s">
        <v>196</v>
      </c>
      <c r="V1" s="121"/>
      <c r="W1" s="121"/>
      <c r="X1" s="121"/>
      <c r="Y1" s="121"/>
      <c r="Z1" s="121"/>
      <c r="AA1" s="122"/>
    </row>
    <row r="2" spans="1:30" x14ac:dyDescent="0.3">
      <c r="A2" s="2" t="s">
        <v>1</v>
      </c>
      <c r="B2" s="2">
        <f>+'losa horm'!B2</f>
        <v>3.96</v>
      </c>
      <c r="C2" s="2" t="s">
        <v>5</v>
      </c>
      <c r="E2" s="99" t="s">
        <v>151</v>
      </c>
      <c r="F2" s="99"/>
      <c r="G2" s="99"/>
      <c r="I2" s="99" t="s">
        <v>177</v>
      </c>
      <c r="J2" s="99"/>
      <c r="K2" s="99"/>
      <c r="M2" s="99" t="s">
        <v>178</v>
      </c>
      <c r="N2" s="99"/>
      <c r="O2" s="99"/>
      <c r="Q2" s="99" t="s">
        <v>179</v>
      </c>
      <c r="R2" s="99"/>
      <c r="S2" s="99"/>
      <c r="U2" s="99" t="s">
        <v>197</v>
      </c>
      <c r="V2" s="99"/>
      <c r="W2" s="99"/>
      <c r="Y2" s="99" t="s">
        <v>210</v>
      </c>
      <c r="Z2" s="99"/>
      <c r="AA2" s="99"/>
    </row>
    <row r="3" spans="1:30" x14ac:dyDescent="0.3">
      <c r="A3" s="2" t="s">
        <v>2</v>
      </c>
      <c r="B3" s="2">
        <f>+'losa horm'!B3</f>
        <v>6.75</v>
      </c>
      <c r="C3" s="2" t="s">
        <v>5</v>
      </c>
      <c r="E3" s="2" t="s">
        <v>20</v>
      </c>
      <c r="F3" s="6">
        <v>36</v>
      </c>
      <c r="G3" s="2" t="s">
        <v>168</v>
      </c>
      <c r="H3" s="1"/>
      <c r="I3" s="2" t="s">
        <v>20</v>
      </c>
      <c r="J3" s="5">
        <f>+F3</f>
        <v>36</v>
      </c>
      <c r="K3" s="2" t="s">
        <v>168</v>
      </c>
      <c r="L3" s="1"/>
      <c r="M3" s="2" t="s">
        <v>20</v>
      </c>
      <c r="N3" s="5">
        <f>+J3</f>
        <v>36</v>
      </c>
      <c r="O3" s="2" t="s">
        <v>168</v>
      </c>
      <c r="Q3" s="2" t="s">
        <v>20</v>
      </c>
      <c r="R3" s="5">
        <f>+N3</f>
        <v>36</v>
      </c>
      <c r="S3" s="2" t="s">
        <v>168</v>
      </c>
      <c r="U3" s="2" t="s">
        <v>20</v>
      </c>
      <c r="V3" s="6">
        <v>36</v>
      </c>
      <c r="W3" s="2" t="s">
        <v>168</v>
      </c>
      <c r="Y3" s="2" t="s">
        <v>20</v>
      </c>
      <c r="Z3" s="5">
        <f>+V3</f>
        <v>36</v>
      </c>
      <c r="AA3" s="2" t="s">
        <v>168</v>
      </c>
    </row>
    <row r="4" spans="1:30" x14ac:dyDescent="0.3">
      <c r="A4" s="2" t="s">
        <v>3</v>
      </c>
      <c r="B4" s="2">
        <f>+'losa horm'!B4</f>
        <v>4.5599999999999996</v>
      </c>
      <c r="C4" s="2" t="s">
        <v>5</v>
      </c>
      <c r="E4" s="2" t="s">
        <v>49</v>
      </c>
      <c r="F4" s="2">
        <f>+B2</f>
        <v>3.96</v>
      </c>
      <c r="G4" s="2" t="s">
        <v>5</v>
      </c>
      <c r="H4" s="1"/>
      <c r="I4" s="2" t="s">
        <v>49</v>
      </c>
      <c r="J4" s="2">
        <f>+B3</f>
        <v>6.75</v>
      </c>
      <c r="K4" s="2" t="s">
        <v>5</v>
      </c>
      <c r="L4" s="1"/>
      <c r="M4" s="2" t="s">
        <v>49</v>
      </c>
      <c r="N4" s="2">
        <f>+F4</f>
        <v>3.96</v>
      </c>
      <c r="O4" s="2" t="s">
        <v>5</v>
      </c>
      <c r="Q4" s="2" t="s">
        <v>49</v>
      </c>
      <c r="R4" s="2">
        <f>+B3</f>
        <v>6.75</v>
      </c>
      <c r="S4" s="2" t="s">
        <v>5</v>
      </c>
      <c r="U4" s="28" t="s">
        <v>198</v>
      </c>
      <c r="V4" s="2">
        <f>+B2</f>
        <v>3.96</v>
      </c>
      <c r="W4" s="28" t="s">
        <v>5</v>
      </c>
      <c r="Y4" s="28" t="s">
        <v>198</v>
      </c>
      <c r="Z4" s="2">
        <f>+B3</f>
        <v>6.75</v>
      </c>
      <c r="AA4" s="28" t="s">
        <v>5</v>
      </c>
    </row>
    <row r="5" spans="1:30" x14ac:dyDescent="0.3">
      <c r="A5" s="2" t="s">
        <v>4</v>
      </c>
      <c r="B5" s="2">
        <f>+'losa horm'!B5</f>
        <v>4.2</v>
      </c>
      <c r="C5" s="2" t="s">
        <v>5</v>
      </c>
      <c r="E5" s="2" t="s">
        <v>48</v>
      </c>
      <c r="F5" s="2">
        <f>+B4</f>
        <v>4.5599999999999996</v>
      </c>
      <c r="G5" s="2" t="s">
        <v>5</v>
      </c>
      <c r="H5" s="1"/>
      <c r="I5" s="2" t="s">
        <v>48</v>
      </c>
      <c r="J5" s="2">
        <f>+F5</f>
        <v>4.5599999999999996</v>
      </c>
      <c r="K5" s="2" t="s">
        <v>5</v>
      </c>
      <c r="L5" s="1"/>
      <c r="M5" s="2" t="s">
        <v>48</v>
      </c>
      <c r="N5" s="2">
        <f>+B5</f>
        <v>4.2</v>
      </c>
      <c r="O5" s="2" t="s">
        <v>5</v>
      </c>
      <c r="Q5" s="2" t="s">
        <v>48</v>
      </c>
      <c r="R5" s="2">
        <f>+B5</f>
        <v>4.2</v>
      </c>
      <c r="S5" s="2" t="s">
        <v>5</v>
      </c>
      <c r="U5" s="28" t="s">
        <v>199</v>
      </c>
      <c r="V5" s="28">
        <f>+F6</f>
        <v>2</v>
      </c>
      <c r="W5" s="28" t="s">
        <v>7</v>
      </c>
      <c r="Y5" s="28" t="s">
        <v>199</v>
      </c>
      <c r="Z5" s="28">
        <f>+J6</f>
        <v>4</v>
      </c>
      <c r="AA5" s="28" t="s">
        <v>7</v>
      </c>
    </row>
    <row r="6" spans="1:30" x14ac:dyDescent="0.3">
      <c r="A6" s="2" t="s">
        <v>6</v>
      </c>
      <c r="B6" s="5">
        <f>+'losa horm'!B6</f>
        <v>2</v>
      </c>
      <c r="C6" s="2" t="s">
        <v>7</v>
      </c>
      <c r="E6" s="28" t="s">
        <v>72</v>
      </c>
      <c r="F6" s="29">
        <v>2</v>
      </c>
      <c r="G6" s="28" t="s">
        <v>7</v>
      </c>
      <c r="H6" s="1"/>
      <c r="I6" s="28" t="s">
        <v>72</v>
      </c>
      <c r="J6" s="29">
        <v>4</v>
      </c>
      <c r="K6" s="28" t="s">
        <v>7</v>
      </c>
      <c r="L6" s="1"/>
      <c r="M6" s="28" t="s">
        <v>72</v>
      </c>
      <c r="N6" s="28">
        <f>+F6</f>
        <v>2</v>
      </c>
      <c r="O6" s="28" t="s">
        <v>7</v>
      </c>
      <c r="Q6" s="28" t="s">
        <v>72</v>
      </c>
      <c r="R6" s="28">
        <f>+J6</f>
        <v>4</v>
      </c>
      <c r="S6" s="28" t="s">
        <v>7</v>
      </c>
      <c r="U6" s="28" t="s">
        <v>200</v>
      </c>
      <c r="V6" s="2">
        <f>+F9/2+N9/2</f>
        <v>5.2147798200000004</v>
      </c>
      <c r="W6" s="28" t="s">
        <v>40</v>
      </c>
      <c r="Y6" s="28" t="s">
        <v>200</v>
      </c>
      <c r="Z6" s="2">
        <f>+J9/2+R9/2</f>
        <v>5.3318440799999998</v>
      </c>
      <c r="AA6" s="28" t="s">
        <v>40</v>
      </c>
    </row>
    <row r="7" spans="1:30" x14ac:dyDescent="0.3">
      <c r="A7" s="2" t="s">
        <v>8</v>
      </c>
      <c r="B7" s="2">
        <f>+'losa horm'!B7</f>
        <v>3.4</v>
      </c>
      <c r="C7" s="2" t="s">
        <v>5</v>
      </c>
      <c r="E7" s="28" t="s">
        <v>152</v>
      </c>
      <c r="F7" s="2">
        <f>+F4/(F6+1)</f>
        <v>1.32</v>
      </c>
      <c r="G7" s="28" t="s">
        <v>5</v>
      </c>
      <c r="H7" s="1"/>
      <c r="I7" s="28" t="s">
        <v>152</v>
      </c>
      <c r="J7" s="2">
        <f>+J4/(J6+1)</f>
        <v>1.35</v>
      </c>
      <c r="K7" s="28" t="s">
        <v>5</v>
      </c>
      <c r="L7" s="1"/>
      <c r="M7" s="28" t="s">
        <v>152</v>
      </c>
      <c r="N7" s="2">
        <f>+N4/(N6+1)</f>
        <v>1.32</v>
      </c>
      <c r="O7" s="28" t="s">
        <v>5</v>
      </c>
      <c r="Q7" s="28" t="s">
        <v>152</v>
      </c>
      <c r="R7" s="2">
        <f>+R4/(R6+1)</f>
        <v>1.35</v>
      </c>
      <c r="S7" s="28" t="s">
        <v>5</v>
      </c>
      <c r="U7" s="28" t="s">
        <v>203</v>
      </c>
      <c r="V7" s="117" t="s">
        <v>202</v>
      </c>
      <c r="W7" s="118"/>
      <c r="Y7" s="28" t="s">
        <v>203</v>
      </c>
      <c r="Z7" s="117" t="s">
        <v>202</v>
      </c>
      <c r="AA7" s="118"/>
    </row>
    <row r="8" spans="1:30" x14ac:dyDescent="0.3">
      <c r="A8" s="2"/>
      <c r="B8" s="112" t="str">
        <f>+'VIGAS horm'!B8</f>
        <v>Vivienda</v>
      </c>
      <c r="C8" s="113"/>
      <c r="E8" s="108" t="str">
        <f>+IF(F7&lt;1.2,"Antiecon",IF(F7&gt;1.6,"Antiecon","OK"))</f>
        <v>OK</v>
      </c>
      <c r="F8" s="109"/>
      <c r="G8" s="110"/>
      <c r="H8" s="1"/>
      <c r="I8" s="108" t="str">
        <f>+IF(J7&lt;1.2,"Antiecon",IF(J7&gt;1.6,"Antiecon","OK"))</f>
        <v>OK</v>
      </c>
      <c r="J8" s="109"/>
      <c r="K8" s="110"/>
      <c r="L8" s="1"/>
      <c r="M8" s="108" t="str">
        <f>+IF(N7&lt;1.2,"Antiecon",IF(N7&gt;1.6,"Antiecon","OK"))</f>
        <v>OK</v>
      </c>
      <c r="N8" s="109"/>
      <c r="O8" s="110"/>
      <c r="Q8" s="108" t="str">
        <f>+IF(R7&lt;1.2,"Antiecon",IF(R7&gt;1.6,"Antiecon","OK"))</f>
        <v>OK</v>
      </c>
      <c r="R8" s="109"/>
      <c r="S8" s="110"/>
      <c r="U8" s="9" t="s">
        <v>156</v>
      </c>
      <c r="V8" s="9">
        <f>+IF(V7=U49,V49,V50)</f>
        <v>4.5890062416000008</v>
      </c>
      <c r="W8" s="9" t="s">
        <v>55</v>
      </c>
      <c r="Y8" s="9" t="s">
        <v>156</v>
      </c>
      <c r="Z8" s="9">
        <f>+IF(Z7=Y49,Z49,Z50)</f>
        <v>14.395979015999998</v>
      </c>
      <c r="AA8" s="9" t="s">
        <v>55</v>
      </c>
    </row>
    <row r="9" spans="1:30" x14ac:dyDescent="0.3">
      <c r="A9" s="2"/>
      <c r="B9" s="2"/>
      <c r="C9" s="2"/>
      <c r="E9" s="2" t="s">
        <v>153</v>
      </c>
      <c r="F9" s="2">
        <f>+F7*F5*$B$13+F23/1000*F5*1.2</f>
        <v>5.4290858399999999</v>
      </c>
      <c r="G9" s="2" t="s">
        <v>40</v>
      </c>
      <c r="H9" s="1"/>
      <c r="I9" s="2" t="s">
        <v>153</v>
      </c>
      <c r="J9" s="2">
        <f>+J7*J5*$B$13+J23/1000*J5*1.2</f>
        <v>5.5509609600000003</v>
      </c>
      <c r="K9" s="2" t="s">
        <v>40</v>
      </c>
      <c r="L9" s="1"/>
      <c r="M9" s="2" t="s">
        <v>153</v>
      </c>
      <c r="N9" s="2">
        <f>+N7*N5*$B$13+N23/1000*N5*1.2</f>
        <v>5.0004738</v>
      </c>
      <c r="O9" s="2" t="s">
        <v>40</v>
      </c>
      <c r="Q9" s="2" t="s">
        <v>153</v>
      </c>
      <c r="R9" s="2">
        <f>+R7*R5*$B$13+R23/1000*R5*1.2</f>
        <v>5.1127272000000001</v>
      </c>
      <c r="S9" s="2" t="s">
        <v>40</v>
      </c>
      <c r="U9" s="9" t="s">
        <v>56</v>
      </c>
      <c r="V9" s="9">
        <f>0.9*V24*V22/100000</f>
        <v>6.522258889669712</v>
      </c>
      <c r="W9" s="9" t="s">
        <v>55</v>
      </c>
      <c r="Y9" s="9" t="s">
        <v>56</v>
      </c>
      <c r="Z9" s="9">
        <f>0.9*Z24*Z22/100000</f>
        <v>16.698636683063949</v>
      </c>
      <c r="AA9" s="9" t="s">
        <v>55</v>
      </c>
    </row>
    <row r="10" spans="1:30" x14ac:dyDescent="0.3">
      <c r="A10" s="1"/>
      <c r="B10" s="1"/>
      <c r="C10" s="1"/>
      <c r="E10" s="2" t="s">
        <v>154</v>
      </c>
      <c r="F10" s="2">
        <f>+F9/F5</f>
        <v>1.1905890000000001</v>
      </c>
      <c r="G10" s="2" t="s">
        <v>155</v>
      </c>
      <c r="H10" s="1"/>
      <c r="I10" s="2" t="s">
        <v>154</v>
      </c>
      <c r="J10" s="2">
        <f>+J9/J5</f>
        <v>1.2173160000000001</v>
      </c>
      <c r="K10" s="2" t="s">
        <v>155</v>
      </c>
      <c r="L10" s="1"/>
      <c r="M10" s="2" t="s">
        <v>154</v>
      </c>
      <c r="N10" s="2">
        <f>+N9/N5</f>
        <v>1.1905889999999999</v>
      </c>
      <c r="O10" s="2" t="s">
        <v>155</v>
      </c>
      <c r="Q10" s="2" t="s">
        <v>154</v>
      </c>
      <c r="R10" s="2">
        <f>+R9/R5</f>
        <v>1.2173160000000001</v>
      </c>
      <c r="S10" s="2" t="s">
        <v>155</v>
      </c>
      <c r="U10" s="9" t="s">
        <v>57</v>
      </c>
      <c r="V10" s="102">
        <f>+V8/V9</f>
        <v>0.70359154998712248</v>
      </c>
      <c r="W10" s="103"/>
      <c r="Y10" s="9" t="s">
        <v>57</v>
      </c>
      <c r="Z10" s="102">
        <f>+Z8/Z9</f>
        <v>0.86210505020452677</v>
      </c>
      <c r="AA10" s="103"/>
    </row>
    <row r="11" spans="1:30" x14ac:dyDescent="0.3">
      <c r="A11" s="7" t="str">
        <f>+'losa horm'!A12</f>
        <v>Cm</v>
      </c>
      <c r="B11" s="7">
        <f>+'DATOS MEMORIA'!C25/1000</f>
        <v>0.47575000000000001</v>
      </c>
      <c r="C11" s="7" t="str">
        <f>+'losa horm'!C12</f>
        <v>t/m2</v>
      </c>
      <c r="E11" s="9" t="s">
        <v>156</v>
      </c>
      <c r="F11" s="41">
        <f>+F10*F5^2 /8</f>
        <v>3.0945789287999999</v>
      </c>
      <c r="G11" s="9" t="s">
        <v>55</v>
      </c>
      <c r="H11" s="1"/>
      <c r="I11" s="9" t="s">
        <v>156</v>
      </c>
      <c r="J11" s="9">
        <f>+J10*J5^2 /8</f>
        <v>3.1640477471999997</v>
      </c>
      <c r="K11" s="9" t="s">
        <v>55</v>
      </c>
      <c r="L11" s="1"/>
      <c r="M11" s="9" t="s">
        <v>156</v>
      </c>
      <c r="N11" s="9">
        <f>+N10*N5^2 /8</f>
        <v>2.6252487449999999</v>
      </c>
      <c r="O11" s="9" t="s">
        <v>55</v>
      </c>
      <c r="Q11" s="9" t="s">
        <v>156</v>
      </c>
      <c r="R11" s="9">
        <f>+R10*R5^2 /8</f>
        <v>2.6841817800000003</v>
      </c>
      <c r="S11" s="9" t="s">
        <v>55</v>
      </c>
      <c r="U11" s="115" t="s">
        <v>204</v>
      </c>
      <c r="V11" s="119"/>
      <c r="W11" s="21" t="str">
        <f>+IF(V25&gt;F7*100,"OK","NO")</f>
        <v>OK</v>
      </c>
      <c r="Y11" s="115" t="s">
        <v>204</v>
      </c>
      <c r="Z11" s="119"/>
      <c r="AA11" s="21" t="str">
        <f>+IF(Z25&gt;J7*100,"OK","NO")</f>
        <v>OK</v>
      </c>
    </row>
    <row r="12" spans="1:30" x14ac:dyDescent="0.3">
      <c r="A12" s="7" t="s">
        <v>53</v>
      </c>
      <c r="B12" s="7">
        <f>+'VIGAS horm'!B12</f>
        <v>0.2</v>
      </c>
      <c r="C12" s="7" t="s">
        <v>33</v>
      </c>
      <c r="E12" s="9" t="s">
        <v>56</v>
      </c>
      <c r="F12" s="9">
        <f>0.9*F28*F26/100000</f>
        <v>3.3897048489107524</v>
      </c>
      <c r="G12" s="9" t="s">
        <v>55</v>
      </c>
      <c r="H12" s="1"/>
      <c r="I12" s="9" t="s">
        <v>56</v>
      </c>
      <c r="J12" s="9">
        <f>0.9*J28*J26/100000</f>
        <v>3.3897048489107524</v>
      </c>
      <c r="K12" s="9" t="s">
        <v>55</v>
      </c>
      <c r="L12" s="1"/>
      <c r="M12" s="9" t="s">
        <v>56</v>
      </c>
      <c r="N12" s="9">
        <f>0.9*N28*N26/100000</f>
        <v>3.3897048489107524</v>
      </c>
      <c r="O12" s="9" t="s">
        <v>55</v>
      </c>
      <c r="Q12" s="9" t="s">
        <v>56</v>
      </c>
      <c r="R12" s="9">
        <f>0.9*R28*R26/100000</f>
        <v>3.3897048489107524</v>
      </c>
      <c r="S12" s="9" t="s">
        <v>55</v>
      </c>
      <c r="U12" s="115" t="s">
        <v>83</v>
      </c>
      <c r="V12" s="116"/>
      <c r="W12" s="21" t="str">
        <f>+IF(V38&gt;V37,"OK","Suba tw")</f>
        <v>OK</v>
      </c>
      <c r="Y12" s="115" t="s">
        <v>83</v>
      </c>
      <c r="Z12" s="116"/>
      <c r="AA12" s="21" t="str">
        <f>+IF(Z38&gt;Z37,"OK","Suba tw")</f>
        <v>OK</v>
      </c>
      <c r="AD12" s="27" t="s">
        <v>211</v>
      </c>
    </row>
    <row r="13" spans="1:30" x14ac:dyDescent="0.3">
      <c r="A13" s="9" t="s">
        <v>54</v>
      </c>
      <c r="B13" s="9">
        <f>+B11*1.2+B12*1.6</f>
        <v>0.89090000000000003</v>
      </c>
      <c r="C13" s="9" t="s">
        <v>33</v>
      </c>
      <c r="E13" s="9" t="s">
        <v>57</v>
      </c>
      <c r="F13" s="102">
        <f>+F11/F12</f>
        <v>0.91293462609123965</v>
      </c>
      <c r="G13" s="103"/>
      <c r="H13" s="1"/>
      <c r="I13" s="9" t="s">
        <v>57</v>
      </c>
      <c r="J13" s="102">
        <f>+J11/J12</f>
        <v>0.9334286872253007</v>
      </c>
      <c r="K13" s="103"/>
      <c r="L13" s="1"/>
      <c r="M13" s="9" t="s">
        <v>57</v>
      </c>
      <c r="N13" s="102">
        <f>+N11/N12</f>
        <v>0.77447708930870407</v>
      </c>
      <c r="O13" s="103"/>
      <c r="Q13" s="9" t="s">
        <v>57</v>
      </c>
      <c r="R13" s="102">
        <f>+R11/R12</f>
        <v>0.79186297912118664</v>
      </c>
      <c r="S13" s="103"/>
      <c r="U13" s="91" t="s">
        <v>157</v>
      </c>
      <c r="V13" s="92"/>
      <c r="W13" s="93"/>
      <c r="Y13" s="91" t="s">
        <v>157</v>
      </c>
      <c r="Z13" s="92"/>
      <c r="AA13" s="93"/>
    </row>
    <row r="14" spans="1:30" x14ac:dyDescent="0.3">
      <c r="A14" s="1"/>
      <c r="B14" s="1"/>
      <c r="C14" s="1"/>
      <c r="E14" s="2" t="s">
        <v>176</v>
      </c>
      <c r="F14" s="6">
        <v>5</v>
      </c>
      <c r="G14" s="21" t="str">
        <f>+IF(F15&lt;F29,"OK","NO")</f>
        <v>OK</v>
      </c>
      <c r="H14" s="1"/>
      <c r="I14" s="2" t="s">
        <v>176</v>
      </c>
      <c r="J14" s="6">
        <v>5</v>
      </c>
      <c r="K14" s="21" t="str">
        <f>+IF(J15&lt;J29,"OK","NO")</f>
        <v>OK</v>
      </c>
      <c r="L14" s="1"/>
      <c r="M14" s="2" t="s">
        <v>176</v>
      </c>
      <c r="N14" s="6">
        <v>2</v>
      </c>
      <c r="O14" s="21" t="str">
        <f>+IF(N15&lt;N29,"OK","NO")</f>
        <v>NO</v>
      </c>
      <c r="Q14" s="2" t="s">
        <v>176</v>
      </c>
      <c r="R14" s="6">
        <v>2</v>
      </c>
      <c r="S14" s="21" t="str">
        <f>+IF(R15&lt;R29,"OK","NO")</f>
        <v>NO</v>
      </c>
      <c r="U14" s="2" t="s">
        <v>158</v>
      </c>
      <c r="V14" s="19">
        <v>12</v>
      </c>
      <c r="W14" s="21" t="str">
        <f>+IF(V14/2/V15&lt;V27,"SISM",IF(V14/2/V15&lt;V28,"COMP","NCOMP"))</f>
        <v>SISM</v>
      </c>
      <c r="Y14" s="2" t="s">
        <v>158</v>
      </c>
      <c r="Z14" s="19">
        <v>16</v>
      </c>
      <c r="AA14" s="21" t="str">
        <f>+IF(Z14/2/Z15&lt;Z27,"SISM",IF(Z14/2/Z15&lt;Z28,"COMP","NCOMP"))</f>
        <v>SISM</v>
      </c>
    </row>
    <row r="15" spans="1:30" x14ac:dyDescent="0.3">
      <c r="A15" s="33"/>
      <c r="B15" s="33"/>
      <c r="C15" s="1"/>
      <c r="E15" s="2" t="s">
        <v>175</v>
      </c>
      <c r="F15" s="5">
        <f>+F5*100/(F14+1)</f>
        <v>75.999999999999986</v>
      </c>
      <c r="G15" s="2" t="s">
        <v>12</v>
      </c>
      <c r="H15" s="1"/>
      <c r="I15" s="2" t="s">
        <v>175</v>
      </c>
      <c r="J15" s="5">
        <f>+J5*100/(J14+1)</f>
        <v>75.999999999999986</v>
      </c>
      <c r="K15" s="2" t="s">
        <v>12</v>
      </c>
      <c r="L15" s="1"/>
      <c r="M15" s="2" t="s">
        <v>175</v>
      </c>
      <c r="N15" s="5">
        <f>+N5*100/(N14+1)</f>
        <v>140</v>
      </c>
      <c r="O15" s="2" t="s">
        <v>12</v>
      </c>
      <c r="Q15" s="2" t="s">
        <v>175</v>
      </c>
      <c r="R15" s="5">
        <f>+R5*100/(R14+1)</f>
        <v>140</v>
      </c>
      <c r="S15" s="2" t="s">
        <v>12</v>
      </c>
      <c r="U15" s="2" t="s">
        <v>159</v>
      </c>
      <c r="V15" s="19">
        <v>0.7</v>
      </c>
      <c r="W15" s="2" t="s">
        <v>12</v>
      </c>
      <c r="Y15" s="2" t="s">
        <v>159</v>
      </c>
      <c r="Z15" s="19">
        <v>1</v>
      </c>
      <c r="AA15" s="2" t="s">
        <v>12</v>
      </c>
    </row>
    <row r="16" spans="1:30" x14ac:dyDescent="0.3">
      <c r="A16" s="1"/>
      <c r="B16" s="11"/>
      <c r="C16" s="1"/>
      <c r="E16" s="23"/>
      <c r="F16" s="30"/>
      <c r="G16" s="24"/>
      <c r="H16" s="1"/>
      <c r="I16" s="23"/>
      <c r="J16" s="30"/>
      <c r="K16" s="24"/>
      <c r="L16" s="1"/>
      <c r="M16" s="23"/>
      <c r="N16" s="30"/>
      <c r="O16" s="24"/>
      <c r="Q16" s="23"/>
      <c r="R16" s="30"/>
      <c r="S16" s="24"/>
      <c r="U16" s="2" t="s">
        <v>160</v>
      </c>
      <c r="V16" s="19">
        <v>27</v>
      </c>
      <c r="W16" s="21" t="str">
        <f>+IF(V16/V17&lt;V29,"SISM",IF(V16/V17&lt;V30,"COMP","NCOMP"))</f>
        <v>SISM</v>
      </c>
      <c r="Y16" s="2" t="s">
        <v>160</v>
      </c>
      <c r="Z16" s="19">
        <v>36</v>
      </c>
      <c r="AA16" s="21" t="str">
        <f>+IF(Z16/Z17&lt;Z29,"SISM",IF(Z16/Z17&lt;Z30,"COMP","NCOMP"))</f>
        <v>SISM</v>
      </c>
    </row>
    <row r="17" spans="1:27" x14ac:dyDescent="0.3">
      <c r="A17" s="1"/>
      <c r="B17" s="11"/>
      <c r="C17" s="1"/>
      <c r="E17" s="91" t="s">
        <v>157</v>
      </c>
      <c r="F17" s="92"/>
      <c r="G17" s="93"/>
      <c r="H17" s="1"/>
      <c r="I17" s="91" t="s">
        <v>157</v>
      </c>
      <c r="J17" s="92"/>
      <c r="K17" s="93"/>
      <c r="L17" s="1"/>
      <c r="M17" s="91" t="s">
        <v>157</v>
      </c>
      <c r="N17" s="92"/>
      <c r="O17" s="93"/>
      <c r="Q17" s="91" t="s">
        <v>157</v>
      </c>
      <c r="R17" s="92"/>
      <c r="S17" s="93"/>
      <c r="U17" s="2" t="s">
        <v>161</v>
      </c>
      <c r="V17" s="19">
        <v>0.4</v>
      </c>
      <c r="W17" s="2" t="s">
        <v>12</v>
      </c>
      <c r="Y17" s="2" t="s">
        <v>161</v>
      </c>
      <c r="Z17" s="19">
        <v>0.6</v>
      </c>
      <c r="AA17" s="2" t="s">
        <v>12</v>
      </c>
    </row>
    <row r="18" spans="1:27" x14ac:dyDescent="0.3">
      <c r="A18" s="1"/>
      <c r="B18" s="1"/>
      <c r="C18" s="1"/>
      <c r="E18" s="2" t="s">
        <v>158</v>
      </c>
      <c r="F18" s="19">
        <v>8</v>
      </c>
      <c r="G18" s="21" t="str">
        <f>+IF(F18/2/F19&lt;F32,"SISM",IF(F18/2/F19&lt;F33,"COMP","NCOMP"))</f>
        <v>SISM</v>
      </c>
      <c r="H18" s="1"/>
      <c r="I18" s="2" t="s">
        <v>158</v>
      </c>
      <c r="J18" s="4">
        <f>+F18</f>
        <v>8</v>
      </c>
      <c r="K18" s="21" t="str">
        <f>+IF(J18/2/J19&lt;J32,"SISM",IF(J18/2/J19&lt;J33,"COMP","NCOMP"))</f>
        <v>SISM</v>
      </c>
      <c r="L18" s="1"/>
      <c r="M18" s="2" t="s">
        <v>158</v>
      </c>
      <c r="N18" s="4">
        <f>+J18</f>
        <v>8</v>
      </c>
      <c r="O18" s="21" t="str">
        <f>+IF(N18/2/N19&lt;N32,"SISM",IF(N18/2/N19&lt;N33,"COMP","NCOMP"))</f>
        <v>SISM</v>
      </c>
      <c r="Q18" s="2" t="s">
        <v>158</v>
      </c>
      <c r="R18" s="4">
        <f>+N18</f>
        <v>8</v>
      </c>
      <c r="S18" s="21" t="str">
        <f>+IF(R18/2/R19&lt;R32,"SISM",IF(R18/2/R19&lt;R33,"COMP","NCOMP"))</f>
        <v>SISM</v>
      </c>
      <c r="U18" s="2" t="s">
        <v>112</v>
      </c>
      <c r="V18" s="2">
        <f>+V14*V16-(V14-V17)*(V16-2*V15)</f>
        <v>27.04000000000002</v>
      </c>
      <c r="W18" s="2" t="s">
        <v>68</v>
      </c>
      <c r="Y18" s="2" t="s">
        <v>112</v>
      </c>
      <c r="Z18" s="2">
        <f>+Z14*Z16-(Z14-Z17)*(Z16-2*Z15)</f>
        <v>52.399999999999977</v>
      </c>
      <c r="AA18" s="2" t="s">
        <v>68</v>
      </c>
    </row>
    <row r="19" spans="1:27" x14ac:dyDescent="0.3">
      <c r="A19" s="1"/>
      <c r="B19" s="1"/>
      <c r="C19" s="1"/>
      <c r="E19" s="2" t="s">
        <v>159</v>
      </c>
      <c r="F19" s="19">
        <v>0.5</v>
      </c>
      <c r="G19" s="2" t="s">
        <v>12</v>
      </c>
      <c r="H19" s="1"/>
      <c r="I19" s="2" t="s">
        <v>159</v>
      </c>
      <c r="J19" s="4">
        <f>+F19</f>
        <v>0.5</v>
      </c>
      <c r="K19" s="2" t="s">
        <v>12</v>
      </c>
      <c r="L19" s="1"/>
      <c r="M19" s="2" t="s">
        <v>159</v>
      </c>
      <c r="N19" s="4">
        <f>+J19</f>
        <v>0.5</v>
      </c>
      <c r="O19" s="2" t="s">
        <v>12</v>
      </c>
      <c r="Q19" s="2" t="s">
        <v>159</v>
      </c>
      <c r="R19" s="4">
        <f>+N19</f>
        <v>0.5</v>
      </c>
      <c r="S19" s="2" t="s">
        <v>12</v>
      </c>
      <c r="U19" s="2" t="s">
        <v>39</v>
      </c>
      <c r="V19" s="2">
        <f>+V18*0.785</f>
        <v>21.226400000000016</v>
      </c>
      <c r="W19" s="2" t="s">
        <v>162</v>
      </c>
      <c r="Y19" s="2" t="s">
        <v>39</v>
      </c>
      <c r="Z19" s="2">
        <f>+Z18*0.785</f>
        <v>41.133999999999986</v>
      </c>
      <c r="AA19" s="2" t="s">
        <v>162</v>
      </c>
    </row>
    <row r="20" spans="1:27" x14ac:dyDescent="0.3">
      <c r="E20" s="2" t="s">
        <v>160</v>
      </c>
      <c r="F20" s="19">
        <v>26</v>
      </c>
      <c r="G20" s="21" t="str">
        <f>+IF(F20/F21&lt;F34,"SISM",IF(F20/F21&lt;F35,"COMP","NCOMP"))</f>
        <v>COMP</v>
      </c>
      <c r="H20" s="1"/>
      <c r="I20" s="2" t="s">
        <v>160</v>
      </c>
      <c r="J20" s="19">
        <v>26</v>
      </c>
      <c r="K20" s="21" t="str">
        <f>+IF(J20/J21&lt;J34,"SISM",IF(J20/J21&lt;J35,"COMP","NCOMP"))</f>
        <v>COMP</v>
      </c>
      <c r="L20" s="1"/>
      <c r="M20" s="2" t="s">
        <v>160</v>
      </c>
      <c r="N20" s="19">
        <v>26</v>
      </c>
      <c r="O20" s="21" t="str">
        <f>+IF(N20/N21&lt;N34,"SISM",IF(N20/N21&lt;N35,"COMP","NCOMP"))</f>
        <v>COMP</v>
      </c>
      <c r="Q20" s="2" t="s">
        <v>160</v>
      </c>
      <c r="R20" s="19">
        <v>26</v>
      </c>
      <c r="S20" s="21" t="str">
        <f>+IF(R20/R21&lt;R34,"SISM",IF(R20/R21&lt;R35,"COMP","NCOMP"))</f>
        <v>COMP</v>
      </c>
      <c r="U20" s="2" t="s">
        <v>163</v>
      </c>
      <c r="V20" s="2">
        <f>+V14*V16^3 /12-(V14-V17)*(V16-2*V15)^3 /12</f>
        <v>3465.0245333333296</v>
      </c>
      <c r="W20" s="2" t="s">
        <v>19</v>
      </c>
      <c r="Y20" s="2" t="s">
        <v>163</v>
      </c>
      <c r="Z20" s="2">
        <f>+Z14*Z16^3 /12-(Z14-Z17)*(Z16-2*Z15)^3 /12</f>
        <v>11767.866666666669</v>
      </c>
      <c r="AA20" s="2" t="s">
        <v>19</v>
      </c>
    </row>
    <row r="21" spans="1:27" x14ac:dyDescent="0.3">
      <c r="E21" s="2" t="s">
        <v>161</v>
      </c>
      <c r="F21" s="19">
        <v>0.3</v>
      </c>
      <c r="G21" s="2" t="s">
        <v>12</v>
      </c>
      <c r="H21" s="1"/>
      <c r="I21" s="2" t="s">
        <v>161</v>
      </c>
      <c r="J21" s="4">
        <f>+F21</f>
        <v>0.3</v>
      </c>
      <c r="K21" s="2" t="s">
        <v>12</v>
      </c>
      <c r="L21" s="1"/>
      <c r="M21" s="2" t="s">
        <v>161</v>
      </c>
      <c r="N21" s="4">
        <f>+J21</f>
        <v>0.3</v>
      </c>
      <c r="O21" s="2" t="s">
        <v>12</v>
      </c>
      <c r="Q21" s="2" t="s">
        <v>161</v>
      </c>
      <c r="R21" s="4">
        <f>+N21</f>
        <v>0.3</v>
      </c>
      <c r="S21" s="2" t="s">
        <v>12</v>
      </c>
      <c r="U21" s="2" t="s">
        <v>164</v>
      </c>
      <c r="V21" s="2">
        <f>+V15*V14^3 /6+(V16-2*V15)*V17^3 /12</f>
        <v>201.73653333333334</v>
      </c>
      <c r="W21" s="2" t="s">
        <v>19</v>
      </c>
      <c r="Y21" s="2" t="s">
        <v>164</v>
      </c>
      <c r="Z21" s="2">
        <f>+Z15*Z14^3 /6+(Z16-2*Z15)*Z17^3 /12</f>
        <v>683.2786666666666</v>
      </c>
      <c r="AA21" s="2" t="s">
        <v>19</v>
      </c>
    </row>
    <row r="22" spans="1:27" x14ac:dyDescent="0.3">
      <c r="E22" s="2" t="s">
        <v>112</v>
      </c>
      <c r="F22" s="2">
        <f>+F18*F20-(F18-F21)*(F20-2*F19)</f>
        <v>15.5</v>
      </c>
      <c r="G22" s="2" t="s">
        <v>68</v>
      </c>
      <c r="H22" s="1"/>
      <c r="I22" s="2" t="s">
        <v>112</v>
      </c>
      <c r="J22" s="2">
        <f>+J18*J20-(J18-J21)*(J20-2*J19)</f>
        <v>15.5</v>
      </c>
      <c r="K22" s="2" t="s">
        <v>68</v>
      </c>
      <c r="L22" s="1"/>
      <c r="M22" s="2" t="s">
        <v>112</v>
      </c>
      <c r="N22" s="2">
        <f>+N18*N20-(N18-N21)*(N20-2*N19)</f>
        <v>15.5</v>
      </c>
      <c r="O22" s="2" t="s">
        <v>68</v>
      </c>
      <c r="Q22" s="2" t="s">
        <v>112</v>
      </c>
      <c r="R22" s="2">
        <f>+R18*R20-(R18-R21)*(R20-2*R19)</f>
        <v>15.5</v>
      </c>
      <c r="S22" s="2" t="s">
        <v>68</v>
      </c>
      <c r="U22" s="2" t="s">
        <v>165</v>
      </c>
      <c r="V22" s="2">
        <f>+V14*V15*(V16-V15)+(V16/2-V15)^2*V17</f>
        <v>286.45599999999996</v>
      </c>
      <c r="W22" s="2" t="s">
        <v>166</v>
      </c>
      <c r="Y22" s="2" t="s">
        <v>165</v>
      </c>
      <c r="Z22" s="2">
        <f>+Z14*Z15*(Z16-Z15)+(Z16/2-Z15)^2*Z17</f>
        <v>733.4</v>
      </c>
      <c r="AA22" s="2" t="s">
        <v>166</v>
      </c>
    </row>
    <row r="23" spans="1:27" x14ac:dyDescent="0.3">
      <c r="E23" s="2" t="s">
        <v>39</v>
      </c>
      <c r="F23" s="2">
        <f>+F22*0.785</f>
        <v>12.1675</v>
      </c>
      <c r="G23" s="2" t="s">
        <v>162</v>
      </c>
      <c r="H23" s="1"/>
      <c r="I23" s="2" t="s">
        <v>39</v>
      </c>
      <c r="J23" s="2">
        <f>+J22*0.785</f>
        <v>12.1675</v>
      </c>
      <c r="K23" s="2" t="s">
        <v>162</v>
      </c>
      <c r="L23" s="1"/>
      <c r="M23" s="2" t="s">
        <v>39</v>
      </c>
      <c r="N23" s="2">
        <f>+N22*0.785</f>
        <v>12.1675</v>
      </c>
      <c r="O23" s="2" t="s">
        <v>162</v>
      </c>
      <c r="Q23" s="2" t="s">
        <v>39</v>
      </c>
      <c r="R23" s="2">
        <f>+R22*0.785</f>
        <v>12.1675</v>
      </c>
      <c r="S23" s="2" t="s">
        <v>162</v>
      </c>
      <c r="U23" s="2" t="s">
        <v>167</v>
      </c>
      <c r="V23" s="2">
        <f>+(V21/V18)^0.5</f>
        <v>2.7314228181370668</v>
      </c>
      <c r="W23" s="2" t="s">
        <v>12</v>
      </c>
      <c r="Y23" s="2" t="s">
        <v>167</v>
      </c>
      <c r="Z23" s="2">
        <f>+(Z21/Z18)^0.5</f>
        <v>3.6110482150195575</v>
      </c>
      <c r="AA23" s="2" t="s">
        <v>12</v>
      </c>
    </row>
    <row r="24" spans="1:27" x14ac:dyDescent="0.3">
      <c r="E24" s="2" t="s">
        <v>163</v>
      </c>
      <c r="F24" s="2">
        <f>+F18*F20^3 /12-(F18-F21)*(F20-2*F19)^3 /12</f>
        <v>1691.2916666666679</v>
      </c>
      <c r="G24" s="2" t="s">
        <v>19</v>
      </c>
      <c r="H24" s="1"/>
      <c r="I24" s="2" t="s">
        <v>163</v>
      </c>
      <c r="J24" s="2">
        <f>+J18*J20^3 /12-(J18-J21)*(J20-2*J19)^3 /12</f>
        <v>1691.2916666666679</v>
      </c>
      <c r="K24" s="2" t="s">
        <v>19</v>
      </c>
      <c r="L24" s="1"/>
      <c r="M24" s="2" t="s">
        <v>163</v>
      </c>
      <c r="N24" s="2">
        <f>+N18*N20^3 /12-(N18-N21)*(N20-2*N19)^3 /12</f>
        <v>1691.2916666666679</v>
      </c>
      <c r="O24" s="2" t="s">
        <v>19</v>
      </c>
      <c r="Q24" s="2" t="s">
        <v>163</v>
      </c>
      <c r="R24" s="2">
        <f>+R18*R20^3 /12-(R18-R21)*(R20-2*R19)^3 /12</f>
        <v>1691.2916666666679</v>
      </c>
      <c r="S24" s="2" t="s">
        <v>19</v>
      </c>
      <c r="U24" s="2" t="s">
        <v>63</v>
      </c>
      <c r="V24" s="5">
        <f>V3*1000/14.23</f>
        <v>2529.8664792691497</v>
      </c>
      <c r="W24" s="2" t="s">
        <v>62</v>
      </c>
      <c r="Y24" s="2" t="s">
        <v>63</v>
      </c>
      <c r="Z24" s="5">
        <f>Z3*1000/14.23</f>
        <v>2529.8664792691497</v>
      </c>
      <c r="AA24" s="2" t="s">
        <v>62</v>
      </c>
    </row>
    <row r="25" spans="1:27" x14ac:dyDescent="0.3">
      <c r="E25" s="2" t="s">
        <v>164</v>
      </c>
      <c r="F25" s="2">
        <f>+F19*F18^3 /6+(F20-2*F19)*F21^3 /12</f>
        <v>42.722916666666663</v>
      </c>
      <c r="G25" s="2" t="s">
        <v>19</v>
      </c>
      <c r="H25" s="1"/>
      <c r="I25" s="2" t="s">
        <v>164</v>
      </c>
      <c r="J25" s="2">
        <f>+J19*J18^3 /6+(J20-2*J19)*J21^3 /12</f>
        <v>42.722916666666663</v>
      </c>
      <c r="K25" s="2" t="s">
        <v>19</v>
      </c>
      <c r="L25" s="1"/>
      <c r="M25" s="2" t="s">
        <v>164</v>
      </c>
      <c r="N25" s="2">
        <f>+N19*N18^3 /6+(N20-2*N19)*N21^3 /12</f>
        <v>42.722916666666663</v>
      </c>
      <c r="O25" s="2" t="s">
        <v>19</v>
      </c>
      <c r="Q25" s="2" t="s">
        <v>164</v>
      </c>
      <c r="R25" s="2">
        <f>+R19*R18^3 /6+(R20-2*R19)*R21^3 /12</f>
        <v>42.722916666666663</v>
      </c>
      <c r="S25" s="2" t="s">
        <v>19</v>
      </c>
      <c r="U25" s="2" t="s">
        <v>174</v>
      </c>
      <c r="V25" s="5">
        <f>1.76*V23*V26</f>
        <v>138.5040420895742</v>
      </c>
      <c r="W25" s="2" t="s">
        <v>12</v>
      </c>
      <c r="Y25" s="2" t="s">
        <v>174</v>
      </c>
      <c r="Z25" s="5">
        <f>1.76*Z23*Z26</f>
        <v>183.10778200998854</v>
      </c>
      <c r="AA25" s="2" t="s">
        <v>12</v>
      </c>
    </row>
    <row r="26" spans="1:27" x14ac:dyDescent="0.3">
      <c r="E26" s="2" t="s">
        <v>165</v>
      </c>
      <c r="F26" s="2">
        <f>+F18*F19*(F20-F19)+(F20/2-F19)^2*F21</f>
        <v>148.875</v>
      </c>
      <c r="G26" s="2" t="s">
        <v>166</v>
      </c>
      <c r="H26" s="1"/>
      <c r="I26" s="2" t="s">
        <v>165</v>
      </c>
      <c r="J26" s="2">
        <f>+J18*J19*(J20-J19)+(J20/2-J19)^2*J21</f>
        <v>148.875</v>
      </c>
      <c r="K26" s="2" t="s">
        <v>166</v>
      </c>
      <c r="L26" s="1"/>
      <c r="M26" s="2" t="s">
        <v>165</v>
      </c>
      <c r="N26" s="2">
        <f>+N18*N19*(N20-N19)+(N20/2-N19)^2*N21</f>
        <v>148.875</v>
      </c>
      <c r="O26" s="2" t="s">
        <v>166</v>
      </c>
      <c r="Q26" s="2" t="s">
        <v>165</v>
      </c>
      <c r="R26" s="2">
        <f>+R18*R19*(R20-R19)+(R20/2-R19)^2*R21</f>
        <v>148.875</v>
      </c>
      <c r="S26" s="2" t="s">
        <v>166</v>
      </c>
      <c r="U26" s="28" t="s">
        <v>173</v>
      </c>
      <c r="V26" s="2">
        <f>+(2100000/V24)^0.5</f>
        <v>28.811166816589246</v>
      </c>
      <c r="W26" s="28"/>
      <c r="Y26" s="28" t="s">
        <v>173</v>
      </c>
      <c r="Z26" s="2">
        <f>+(2100000/Z24)^0.5</f>
        <v>28.811166816589246</v>
      </c>
      <c r="AA26" s="28"/>
    </row>
    <row r="27" spans="1:27" x14ac:dyDescent="0.3">
      <c r="E27" s="2" t="s">
        <v>167</v>
      </c>
      <c r="F27" s="2">
        <f>+(F25/F22)^0.5</f>
        <v>1.6602160113374027</v>
      </c>
      <c r="G27" s="2" t="s">
        <v>12</v>
      </c>
      <c r="H27" s="1"/>
      <c r="I27" s="2" t="s">
        <v>167</v>
      </c>
      <c r="J27" s="2">
        <f>+(J25/J22)^0.5</f>
        <v>1.6602160113374027</v>
      </c>
      <c r="K27" s="2" t="s">
        <v>12</v>
      </c>
      <c r="L27" s="1"/>
      <c r="M27" s="2" t="s">
        <v>167</v>
      </c>
      <c r="N27" s="2">
        <f>+(N25/N22)^0.5</f>
        <v>1.6602160113374027</v>
      </c>
      <c r="O27" s="2" t="s">
        <v>12</v>
      </c>
      <c r="Q27" s="2" t="s">
        <v>167</v>
      </c>
      <c r="R27" s="2">
        <f>+(R25/R22)^0.5</f>
        <v>1.6602160113374027</v>
      </c>
      <c r="S27" s="2" t="s">
        <v>12</v>
      </c>
      <c r="U27" s="2" t="s">
        <v>169</v>
      </c>
      <c r="V27" s="2">
        <f>0.3*V26</f>
        <v>8.6433500449767742</v>
      </c>
      <c r="W27" s="2"/>
      <c r="Y27" s="2" t="s">
        <v>169</v>
      </c>
      <c r="Z27" s="2">
        <f>0.3*Z26</f>
        <v>8.6433500449767742</v>
      </c>
      <c r="AA27" s="2"/>
    </row>
    <row r="28" spans="1:27" x14ac:dyDescent="0.3">
      <c r="E28" s="2" t="s">
        <v>63</v>
      </c>
      <c r="F28" s="5">
        <f>F3*1000/14.23</f>
        <v>2529.8664792691497</v>
      </c>
      <c r="G28" s="2" t="s">
        <v>62</v>
      </c>
      <c r="H28" s="1"/>
      <c r="I28" s="2" t="s">
        <v>63</v>
      </c>
      <c r="J28" s="5">
        <f>J3*1000/14.23</f>
        <v>2529.8664792691497</v>
      </c>
      <c r="K28" s="2" t="s">
        <v>62</v>
      </c>
      <c r="L28" s="1"/>
      <c r="M28" s="2" t="s">
        <v>63</v>
      </c>
      <c r="N28" s="5">
        <f>N3*1000/14.23</f>
        <v>2529.8664792691497</v>
      </c>
      <c r="O28" s="2" t="s">
        <v>62</v>
      </c>
      <c r="Q28" s="2" t="s">
        <v>63</v>
      </c>
      <c r="R28" s="5">
        <f>R3*1000/14.23</f>
        <v>2529.8664792691497</v>
      </c>
      <c r="S28" s="2" t="s">
        <v>62</v>
      </c>
      <c r="U28" s="2" t="s">
        <v>170</v>
      </c>
      <c r="V28" s="2">
        <f>0.38*V26</f>
        <v>10.948243390303913</v>
      </c>
      <c r="W28" s="2"/>
      <c r="Y28" s="2" t="s">
        <v>170</v>
      </c>
      <c r="Z28" s="2">
        <f>0.38*Z26</f>
        <v>10.948243390303913</v>
      </c>
      <c r="AA28" s="2"/>
    </row>
    <row r="29" spans="1:27" x14ac:dyDescent="0.3">
      <c r="E29" s="2" t="s">
        <v>174</v>
      </c>
      <c r="F29" s="5">
        <f>1.76*F27*F31</f>
        <v>84.185658399417221</v>
      </c>
      <c r="G29" s="2" t="s">
        <v>12</v>
      </c>
      <c r="H29" s="1"/>
      <c r="I29" s="2" t="s">
        <v>174</v>
      </c>
      <c r="J29" s="5">
        <f>1.76*J27*J31</f>
        <v>84.185658399417221</v>
      </c>
      <c r="K29" s="2" t="s">
        <v>12</v>
      </c>
      <c r="L29" s="1"/>
      <c r="M29" s="2" t="s">
        <v>174</v>
      </c>
      <c r="N29" s="5">
        <f>1.76*N27*N31</f>
        <v>84.185658399417221</v>
      </c>
      <c r="O29" s="2" t="s">
        <v>12</v>
      </c>
      <c r="Q29" s="2" t="s">
        <v>174</v>
      </c>
      <c r="R29" s="5">
        <f>1.76*R27*R31</f>
        <v>84.185658399417221</v>
      </c>
      <c r="S29" s="2" t="s">
        <v>12</v>
      </c>
      <c r="U29" s="2" t="s">
        <v>171</v>
      </c>
      <c r="V29" s="2">
        <f>2.45*V26</f>
        <v>70.587358700643662</v>
      </c>
      <c r="W29" s="2"/>
      <c r="Y29" s="2" t="s">
        <v>171</v>
      </c>
      <c r="Z29" s="2">
        <f>2.45*Z26</f>
        <v>70.587358700643662</v>
      </c>
      <c r="AA29" s="2"/>
    </row>
    <row r="30" spans="1:27" x14ac:dyDescent="0.3">
      <c r="E30" s="28" t="s">
        <v>18</v>
      </c>
      <c r="F30" s="28">
        <f>3.125*($B$11+$B$12)*F7*10*(F5*100)^3 /2100000</f>
        <v>1258.5927929142852</v>
      </c>
      <c r="G30" s="28" t="s">
        <v>19</v>
      </c>
      <c r="H30" s="1"/>
      <c r="I30" s="28" t="s">
        <v>18</v>
      </c>
      <c r="J30" s="28">
        <f>3.125*($B$11+$B$12)*J7*10*(J5*100)^3 /2100000</f>
        <v>1287.1971745714281</v>
      </c>
      <c r="K30" s="28" t="s">
        <v>19</v>
      </c>
      <c r="L30" s="1"/>
      <c r="M30" s="28" t="s">
        <v>18</v>
      </c>
      <c r="N30" s="28">
        <f>3.125*($B$11+$B$12)*N7*10*(N5*100)^3 /2100000</f>
        <v>983.41897500000016</v>
      </c>
      <c r="O30" s="28" t="s">
        <v>19</v>
      </c>
      <c r="Q30" s="28" t="s">
        <v>18</v>
      </c>
      <c r="R30" s="28">
        <f>3.125*($B$11+$B$12)*R7*10*(R5*100)^3 /2100000</f>
        <v>1005.76940625</v>
      </c>
      <c r="S30" s="28" t="s">
        <v>19</v>
      </c>
      <c r="U30" s="2" t="s">
        <v>172</v>
      </c>
      <c r="V30" s="2">
        <f>3.76*V26</f>
        <v>108.32998723037556</v>
      </c>
      <c r="W30" s="2"/>
      <c r="Y30" s="2" t="s">
        <v>172</v>
      </c>
      <c r="Z30" s="2">
        <f>3.76*Z26</f>
        <v>108.32998723037556</v>
      </c>
      <c r="AA30" s="2"/>
    </row>
    <row r="31" spans="1:27" x14ac:dyDescent="0.3">
      <c r="E31" s="28" t="s">
        <v>173</v>
      </c>
      <c r="F31" s="2">
        <f>+(2100000/F28)^0.5</f>
        <v>28.811166816589246</v>
      </c>
      <c r="G31" s="28"/>
      <c r="I31" s="28" t="s">
        <v>173</v>
      </c>
      <c r="J31" s="2">
        <f>+(2100000/J28)^0.5</f>
        <v>28.811166816589246</v>
      </c>
      <c r="K31" s="28"/>
      <c r="M31" s="28" t="s">
        <v>173</v>
      </c>
      <c r="N31" s="2">
        <f>+(2100000/N28)^0.5</f>
        <v>28.811166816589246</v>
      </c>
      <c r="O31" s="28"/>
      <c r="Q31" s="28" t="s">
        <v>173</v>
      </c>
      <c r="R31" s="2">
        <f>+(2100000/R28)^0.5</f>
        <v>28.811166816589246</v>
      </c>
      <c r="S31" s="28"/>
      <c r="U31" s="36" t="s">
        <v>245</v>
      </c>
      <c r="V31" s="37">
        <f>+V8*100000/0.9/V24/0.75</f>
        <v>268.73069472414818</v>
      </c>
      <c r="W31" s="36" t="s">
        <v>166</v>
      </c>
      <c r="Y31" s="36" t="s">
        <v>245</v>
      </c>
      <c r="Z31" s="37">
        <f>+Z8*100000/0.9/Z24/0.75</f>
        <v>843.02379175999977</v>
      </c>
      <c r="AA31" s="36" t="s">
        <v>166</v>
      </c>
    </row>
    <row r="32" spans="1:27" x14ac:dyDescent="0.3">
      <c r="E32" s="2" t="s">
        <v>169</v>
      </c>
      <c r="F32" s="2">
        <f>0.3*F31</f>
        <v>8.6433500449767742</v>
      </c>
      <c r="G32" s="2"/>
      <c r="I32" s="2" t="s">
        <v>169</v>
      </c>
      <c r="J32" s="2">
        <f>0.3*J31</f>
        <v>8.6433500449767742</v>
      </c>
      <c r="K32" s="2"/>
      <c r="M32" s="2" t="s">
        <v>169</v>
      </c>
      <c r="N32" s="2">
        <f>0.3*N31</f>
        <v>8.6433500449767742</v>
      </c>
      <c r="O32" s="2"/>
      <c r="Q32" s="2" t="s">
        <v>169</v>
      </c>
      <c r="R32" s="2">
        <f>0.3*R31</f>
        <v>8.6433500449767742</v>
      </c>
      <c r="S32" s="2"/>
      <c r="U32" s="28" t="s">
        <v>246</v>
      </c>
      <c r="V32" s="29">
        <v>240</v>
      </c>
      <c r="W32" s="28"/>
      <c r="Y32" s="28" t="s">
        <v>246</v>
      </c>
      <c r="Z32" s="29">
        <v>400</v>
      </c>
      <c r="AA32" s="28"/>
    </row>
    <row r="33" spans="5:27" x14ac:dyDescent="0.3">
      <c r="E33" s="2" t="s">
        <v>170</v>
      </c>
      <c r="F33" s="2">
        <f>0.38*F31</f>
        <v>10.948243390303913</v>
      </c>
      <c r="G33" s="2"/>
      <c r="I33" s="2" t="s">
        <v>170</v>
      </c>
      <c r="J33" s="2">
        <f>0.38*J31</f>
        <v>10.948243390303913</v>
      </c>
      <c r="K33" s="2"/>
      <c r="M33" s="2" t="s">
        <v>170</v>
      </c>
      <c r="N33" s="2">
        <f>0.38*N31</f>
        <v>10.948243390303913</v>
      </c>
      <c r="O33" s="2"/>
      <c r="Q33" s="2" t="s">
        <v>170</v>
      </c>
      <c r="R33" s="2">
        <f>0.38*R31</f>
        <v>10.948243390303913</v>
      </c>
      <c r="S33" s="2"/>
      <c r="U33" s="28" t="s">
        <v>39</v>
      </c>
      <c r="V33" s="29">
        <v>36.200000000000003</v>
      </c>
      <c r="W33" s="28" t="s">
        <v>162</v>
      </c>
      <c r="Y33" s="28" t="s">
        <v>39</v>
      </c>
      <c r="Z33" s="29">
        <v>92.6</v>
      </c>
      <c r="AA33" s="28" t="s">
        <v>162</v>
      </c>
    </row>
    <row r="34" spans="5:27" x14ac:dyDescent="0.3">
      <c r="E34" s="2" t="s">
        <v>171</v>
      </c>
      <c r="F34" s="2">
        <f>2.45*F31</f>
        <v>70.587358700643662</v>
      </c>
      <c r="G34" s="2"/>
      <c r="I34" s="2" t="s">
        <v>171</v>
      </c>
      <c r="J34" s="2">
        <f>2.45*J31</f>
        <v>70.587358700643662</v>
      </c>
      <c r="K34" s="2"/>
      <c r="M34" s="2" t="s">
        <v>171</v>
      </c>
      <c r="N34" s="2">
        <f>2.45*N31</f>
        <v>70.587358700643662</v>
      </c>
      <c r="O34" s="2"/>
      <c r="Q34" s="2" t="s">
        <v>171</v>
      </c>
      <c r="R34" s="2">
        <f>2.45*R31</f>
        <v>70.587358700643662</v>
      </c>
      <c r="S34" s="2"/>
      <c r="U34" s="114" t="s">
        <v>83</v>
      </c>
      <c r="V34" s="114"/>
      <c r="W34" s="114"/>
      <c r="Y34" s="114" t="s">
        <v>83</v>
      </c>
      <c r="Z34" s="114"/>
      <c r="AA34" s="114"/>
    </row>
    <row r="35" spans="5:27" x14ac:dyDescent="0.3">
      <c r="E35" s="2" t="s">
        <v>172</v>
      </c>
      <c r="F35" s="2">
        <f>3.76*F31</f>
        <v>108.32998723037556</v>
      </c>
      <c r="G35" s="2"/>
      <c r="I35" s="2" t="s">
        <v>172</v>
      </c>
      <c r="J35" s="2">
        <f>3.76*J31</f>
        <v>108.32998723037556</v>
      </c>
      <c r="K35" s="2"/>
      <c r="M35" s="2" t="s">
        <v>172</v>
      </c>
      <c r="N35" s="2">
        <f>3.76*N31</f>
        <v>108.32998723037556</v>
      </c>
      <c r="O35" s="2"/>
      <c r="Q35" s="2" t="s">
        <v>172</v>
      </c>
      <c r="R35" s="2">
        <f>3.76*R31</f>
        <v>108.32998723037556</v>
      </c>
      <c r="S35" s="2"/>
      <c r="U35" s="28" t="s">
        <v>86</v>
      </c>
      <c r="V35" s="2">
        <f>+(V5*V6+V19/1000*V4*1.2)/2</f>
        <v>5.2652137464000006</v>
      </c>
      <c r="W35" s="28" t="s">
        <v>40</v>
      </c>
      <c r="Y35" s="28" t="s">
        <v>86</v>
      </c>
      <c r="Z35" s="2">
        <f>+(Z5*Z6+Z19/1000*Z4*1.2)/2</f>
        <v>10.83028086</v>
      </c>
      <c r="AA35" s="28" t="s">
        <v>40</v>
      </c>
    </row>
    <row r="36" spans="5:27" x14ac:dyDescent="0.3">
      <c r="E36" s="36" t="s">
        <v>245</v>
      </c>
      <c r="F36" s="37">
        <f>+F11*100000/0.9/F28</f>
        <v>135.91314245933333</v>
      </c>
      <c r="G36" s="36" t="s">
        <v>166</v>
      </c>
      <c r="I36" s="36" t="s">
        <v>245</v>
      </c>
      <c r="J36" s="37">
        <f>+J11*100000/0.9/J28</f>
        <v>138.96419581066664</v>
      </c>
      <c r="K36" s="36" t="s">
        <v>166</v>
      </c>
      <c r="M36" s="36" t="s">
        <v>245</v>
      </c>
      <c r="N36" s="37">
        <f>+N11*100000/0.9/N28</f>
        <v>115.30027667083333</v>
      </c>
      <c r="O36" s="36" t="s">
        <v>166</v>
      </c>
      <c r="Q36" s="36" t="s">
        <v>245</v>
      </c>
      <c r="R36" s="37">
        <f>+R11*100000/0.9/R28</f>
        <v>117.88860101666666</v>
      </c>
      <c r="S36" s="36" t="s">
        <v>166</v>
      </c>
      <c r="U36" s="28" t="s">
        <v>87</v>
      </c>
      <c r="V36" s="2">
        <f>2*V45/(V4-'COL MET'!F7/100-V16/50)</f>
        <v>6.5177010567628848</v>
      </c>
      <c r="W36" s="28" t="s">
        <v>40</v>
      </c>
      <c r="Y36" s="28" t="s">
        <v>87</v>
      </c>
      <c r="Z36" s="2">
        <f>2*Z45/(Z4-'COL MET'!F7/100-Z16/50)</f>
        <v>9.1648629655657068</v>
      </c>
      <c r="AA36" s="28" t="s">
        <v>40</v>
      </c>
    </row>
    <row r="37" spans="5:27" x14ac:dyDescent="0.3">
      <c r="U37" s="31" t="s">
        <v>88</v>
      </c>
      <c r="V37" s="7">
        <f>+IF(V7="EMP",V35+V36,V35)</f>
        <v>11.782914803162885</v>
      </c>
      <c r="W37" s="31" t="s">
        <v>40</v>
      </c>
      <c r="Y37" s="31" t="s">
        <v>88</v>
      </c>
      <c r="Z37" s="7">
        <f>+IF(Z7="EMP",Z35+Z36,Z35)</f>
        <v>19.995143825565705</v>
      </c>
      <c r="AA37" s="31" t="s">
        <v>40</v>
      </c>
    </row>
    <row r="38" spans="5:27" x14ac:dyDescent="0.3">
      <c r="E38" s="28" t="s">
        <v>246</v>
      </c>
      <c r="F38" s="29">
        <v>200</v>
      </c>
      <c r="G38" s="28"/>
      <c r="I38" s="28" t="s">
        <v>246</v>
      </c>
      <c r="J38" s="29">
        <v>200</v>
      </c>
      <c r="K38" s="28"/>
      <c r="M38" s="28" t="s">
        <v>246</v>
      </c>
      <c r="N38" s="29">
        <v>200</v>
      </c>
      <c r="O38" s="28"/>
      <c r="Q38" s="28" t="s">
        <v>246</v>
      </c>
      <c r="R38" s="29">
        <v>200</v>
      </c>
      <c r="S38" s="28"/>
      <c r="U38" s="31" t="s">
        <v>142</v>
      </c>
      <c r="V38" s="7">
        <f>+(V16-2*V15)*V17*V24/1000*0.6*V44</f>
        <v>15.543499648629659</v>
      </c>
      <c r="W38" s="31" t="s">
        <v>40</v>
      </c>
      <c r="Y38" s="31" t="s">
        <v>142</v>
      </c>
      <c r="Z38" s="7">
        <f>+(Z16-2*Z15)*Z17*Z24/1000*0.6*Z44</f>
        <v>30.965565706254388</v>
      </c>
      <c r="AA38" s="31" t="s">
        <v>40</v>
      </c>
    </row>
    <row r="39" spans="5:27" x14ac:dyDescent="0.3">
      <c r="E39" s="28" t="s">
        <v>39</v>
      </c>
      <c r="F39" s="29">
        <v>26.3</v>
      </c>
      <c r="G39" s="28" t="s">
        <v>162</v>
      </c>
      <c r="I39" s="28" t="s">
        <v>39</v>
      </c>
      <c r="J39" s="29">
        <v>26.3</v>
      </c>
      <c r="K39" s="28" t="s">
        <v>162</v>
      </c>
      <c r="M39" s="28" t="s">
        <v>39</v>
      </c>
      <c r="N39" s="29">
        <v>26.3</v>
      </c>
      <c r="O39" s="28" t="s">
        <v>162</v>
      </c>
      <c r="Q39" s="28" t="s">
        <v>39</v>
      </c>
      <c r="R39" s="29">
        <v>26.3</v>
      </c>
      <c r="S39" s="28" t="s">
        <v>162</v>
      </c>
      <c r="U39" s="28"/>
      <c r="V39" s="28"/>
      <c r="W39" s="28"/>
      <c r="Y39" s="28"/>
      <c r="Z39" s="28"/>
      <c r="AA39" s="28"/>
    </row>
    <row r="40" spans="5:27" x14ac:dyDescent="0.3">
      <c r="U40" s="28"/>
      <c r="V40" s="28"/>
      <c r="W40" s="28"/>
      <c r="Y40" s="28"/>
      <c r="Z40" s="28"/>
      <c r="AA40" s="28"/>
    </row>
    <row r="41" spans="5:27" x14ac:dyDescent="0.3">
      <c r="U41" s="28" t="s">
        <v>207</v>
      </c>
      <c r="V41" s="2">
        <f>+V16/V17</f>
        <v>67.5</v>
      </c>
      <c r="W41" s="28"/>
      <c r="Y41" s="28" t="s">
        <v>207</v>
      </c>
      <c r="Z41" s="2">
        <f>+Z16/Z17</f>
        <v>60</v>
      </c>
      <c r="AA41" s="28"/>
    </row>
    <row r="42" spans="5:27" x14ac:dyDescent="0.3">
      <c r="U42" s="28" t="s">
        <v>208</v>
      </c>
      <c r="V42" s="2">
        <f>1.1*(5*2100000/V24)^0.5</f>
        <v>70.866100264277748</v>
      </c>
      <c r="W42" s="28"/>
      <c r="Y42" s="28" t="s">
        <v>208</v>
      </c>
      <c r="Z42" s="2">
        <f>1.1*(5*2100000/Z24)^0.5</f>
        <v>70.866100264277748</v>
      </c>
      <c r="AA42" s="28"/>
    </row>
    <row r="43" spans="5:27" x14ac:dyDescent="0.3">
      <c r="U43" s="28" t="s">
        <v>209</v>
      </c>
      <c r="V43" s="2">
        <f>1.37*(5*2100000/V24)^0.5</f>
        <v>88.260506692782286</v>
      </c>
      <c r="W43" s="28"/>
      <c r="Y43" s="28" t="s">
        <v>209</v>
      </c>
      <c r="Z43" s="2">
        <f>1.37*(5*2100000/Z24)^0.5</f>
        <v>88.260506692782286</v>
      </c>
      <c r="AA43" s="28"/>
    </row>
    <row r="44" spans="5:27" x14ac:dyDescent="0.3">
      <c r="U44" s="28" t="s">
        <v>53</v>
      </c>
      <c r="V44" s="2">
        <f>+IF(V41&lt;V42,1,IF(V41&lt;V43,V41/V43,1.51*5*2100000/V41^2 /V24))</f>
        <v>1</v>
      </c>
      <c r="W44" s="28"/>
      <c r="Y44" s="28" t="s">
        <v>53</v>
      </c>
      <c r="Z44" s="2">
        <f>+IF(Z41&lt;Z42,1,IF(Z41&lt;Z43,Z41/Z43,1.51*5*2100000/Z41^2 /Z24))</f>
        <v>1</v>
      </c>
      <c r="AA44" s="28"/>
    </row>
    <row r="45" spans="5:27" x14ac:dyDescent="0.3">
      <c r="U45" s="28" t="s">
        <v>206</v>
      </c>
      <c r="V45" s="2">
        <f>1.1*V51*V24*V22/100000</f>
        <v>10.363144680252987</v>
      </c>
      <c r="W45" s="28" t="s">
        <v>55</v>
      </c>
      <c r="Y45" s="28" t="s">
        <v>206</v>
      </c>
      <c r="Z45" s="2">
        <f>1.1*Z51*Z24*Z22/100000</f>
        <v>26.532278285312721</v>
      </c>
      <c r="AA45" s="28" t="s">
        <v>55</v>
      </c>
    </row>
    <row r="46" spans="5:27" x14ac:dyDescent="0.3">
      <c r="Y46" s="27"/>
      <c r="Z46" s="27"/>
      <c r="AA46" s="27"/>
    </row>
    <row r="47" spans="5:27" x14ac:dyDescent="0.3">
      <c r="Y47" s="27"/>
      <c r="Z47" s="27"/>
      <c r="AA47" s="27"/>
    </row>
    <row r="48" spans="5:27" x14ac:dyDescent="0.3">
      <c r="U48" s="28"/>
      <c r="V48" s="28">
        <f>+IF(ISEVEN(V5),0,1)</f>
        <v>0</v>
      </c>
      <c r="W48" s="28"/>
      <c r="Y48" s="28"/>
      <c r="Z48" s="28">
        <f>+IF(ISEVEN(Z5),0,1)</f>
        <v>0</v>
      </c>
      <c r="AA48" s="28"/>
    </row>
    <row r="49" spans="21:27" x14ac:dyDescent="0.3">
      <c r="U49" s="28" t="s">
        <v>201</v>
      </c>
      <c r="V49" s="2">
        <f>+IF(V48=1,(V5+1)*V6*V4/8,((V5+1)^2-1)*V6*V4/8/(V5+1))</f>
        <v>6.8835093624000008</v>
      </c>
      <c r="W49" s="28" t="s">
        <v>55</v>
      </c>
      <c r="Y49" s="28" t="s">
        <v>201</v>
      </c>
      <c r="Z49" s="2">
        <f>+IF(Z48=1,(Z5+1)*Z6*Z4/8,((Z5+1)^2-1)*Z6*Z4/8/(Z5+1))</f>
        <v>21.593968523999997</v>
      </c>
      <c r="AA49" s="28" t="s">
        <v>55</v>
      </c>
    </row>
    <row r="50" spans="21:27" x14ac:dyDescent="0.3">
      <c r="U50" s="28" t="s">
        <v>202</v>
      </c>
      <c r="V50" s="2">
        <f>+V6*V4*((V5+1)^2-1)/12/(V5+1)</f>
        <v>4.5890062416000008</v>
      </c>
      <c r="W50" s="28" t="s">
        <v>55</v>
      </c>
      <c r="Y50" s="28" t="s">
        <v>202</v>
      </c>
      <c r="Z50" s="2">
        <f>+Z6*Z4*((Z5+1)^2-1)/12/(Z5+1)</f>
        <v>14.395979015999998</v>
      </c>
      <c r="AA50" s="28" t="s">
        <v>55</v>
      </c>
    </row>
    <row r="51" spans="21:27" x14ac:dyDescent="0.3">
      <c r="U51" s="28" t="s">
        <v>205</v>
      </c>
      <c r="V51" s="28">
        <f>+IF(V3=36,1.3,1.15)</f>
        <v>1.3</v>
      </c>
      <c r="W51" s="28"/>
      <c r="Y51" s="28" t="s">
        <v>205</v>
      </c>
      <c r="Z51" s="28">
        <f>+IF(Z3=36,1.3,1.15)</f>
        <v>1.3</v>
      </c>
      <c r="AA51" s="28"/>
    </row>
  </sheetData>
  <mergeCells count="34">
    <mergeCell ref="F13:G13"/>
    <mergeCell ref="Q2:S2"/>
    <mergeCell ref="Q8:S8"/>
    <mergeCell ref="R13:S13"/>
    <mergeCell ref="Q17:S17"/>
    <mergeCell ref="I2:K2"/>
    <mergeCell ref="I8:K8"/>
    <mergeCell ref="J13:K13"/>
    <mergeCell ref="I17:K17"/>
    <mergeCell ref="M2:O2"/>
    <mergeCell ref="M8:O8"/>
    <mergeCell ref="N13:O13"/>
    <mergeCell ref="M17:O17"/>
    <mergeCell ref="E17:G17"/>
    <mergeCell ref="U1:AA1"/>
    <mergeCell ref="A1:C1"/>
    <mergeCell ref="B8:C8"/>
    <mergeCell ref="E2:G2"/>
    <mergeCell ref="E8:G8"/>
    <mergeCell ref="E1:S1"/>
    <mergeCell ref="U34:W34"/>
    <mergeCell ref="U12:V12"/>
    <mergeCell ref="Y2:AA2"/>
    <mergeCell ref="Z7:AA7"/>
    <mergeCell ref="Z10:AA10"/>
    <mergeCell ref="Y11:Z11"/>
    <mergeCell ref="Y12:Z12"/>
    <mergeCell ref="Y13:AA13"/>
    <mergeCell ref="Y34:AA34"/>
    <mergeCell ref="U2:W2"/>
    <mergeCell ref="V7:W7"/>
    <mergeCell ref="V10:W10"/>
    <mergeCell ref="U13:W13"/>
    <mergeCell ref="U11:V11"/>
  </mergeCells>
  <conditionalFormatting sqref="F24">
    <cfRule type="cellIs" dxfId="11" priority="11" operator="lessThan">
      <formula>F30</formula>
    </cfRule>
  </conditionalFormatting>
  <conditionalFormatting sqref="F13:G13">
    <cfRule type="cellIs" dxfId="10" priority="12" operator="greaterThan">
      <formula>1</formula>
    </cfRule>
  </conditionalFormatting>
  <conditionalFormatting sqref="J24">
    <cfRule type="cellIs" dxfId="9" priority="9" operator="lessThan">
      <formula>J30</formula>
    </cfRule>
  </conditionalFormatting>
  <conditionalFormatting sqref="J13:K13">
    <cfRule type="cellIs" dxfId="8" priority="10" operator="greaterThan">
      <formula>1</formula>
    </cfRule>
  </conditionalFormatting>
  <conditionalFormatting sqref="N24">
    <cfRule type="cellIs" dxfId="7" priority="7" operator="lessThan">
      <formula>N30</formula>
    </cfRule>
  </conditionalFormatting>
  <conditionalFormatting sqref="N13:O13">
    <cfRule type="cellIs" dxfId="6" priority="8" operator="greaterThan">
      <formula>1</formula>
    </cfRule>
  </conditionalFormatting>
  <conditionalFormatting sqref="R24">
    <cfRule type="cellIs" dxfId="5" priority="5" operator="lessThan">
      <formula>R30</formula>
    </cfRule>
  </conditionalFormatting>
  <conditionalFormatting sqref="R13:S13">
    <cfRule type="cellIs" dxfId="4" priority="6" operator="greaterThan">
      <formula>1</formula>
    </cfRule>
  </conditionalFormatting>
  <conditionalFormatting sqref="V20">
    <cfRule type="cellIs" dxfId="3" priority="13" operator="lessThan">
      <formula>#REF!</formula>
    </cfRule>
  </conditionalFormatting>
  <conditionalFormatting sqref="Z20">
    <cfRule type="cellIs" dxfId="2" priority="2" operator="lessThan">
      <formula>#REF!</formula>
    </cfRule>
  </conditionalFormatting>
  <dataValidations disablePrompts="1" count="2">
    <dataValidation type="list" allowBlank="1" showInputMessage="1" showErrorMessage="1" sqref="F3 V3" xr:uid="{373E7B57-6244-4AAE-B662-827C6A073E22}">
      <formula1>"36,50"</formula1>
    </dataValidation>
    <dataValidation type="list" allowBlank="1" showInputMessage="1" showErrorMessage="1" sqref="V7:W7 Z7:AA7" xr:uid="{6FD4AB58-8D6F-4F4F-B4B9-82E601C456FA}">
      <formula1>"EMP,ART"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76DFA-051A-4D91-8051-2A3D0512B07B}">
  <dimension ref="A1:P36"/>
  <sheetViews>
    <sheetView topLeftCell="A16" zoomScale="110" zoomScaleNormal="110" workbookViewId="0">
      <selection activeCell="M16" sqref="M16"/>
    </sheetView>
  </sheetViews>
  <sheetFormatPr baseColWidth="10" defaultRowHeight="14.4" x14ac:dyDescent="0.3"/>
  <cols>
    <col min="1" max="3" width="8.44140625" style="1" customWidth="1"/>
    <col min="4" max="4" width="3.109375" style="1" customWidth="1"/>
    <col min="5" max="7" width="8.44140625" style="1" customWidth="1"/>
    <col min="8" max="8" width="2" style="1" customWidth="1"/>
    <col min="9" max="11" width="8.77734375" style="1" customWidth="1"/>
    <col min="12" max="15" width="9" style="1" customWidth="1"/>
    <col min="16" max="16384" width="11.5546875" style="1"/>
  </cols>
  <sheetData>
    <row r="1" spans="1:16" x14ac:dyDescent="0.3">
      <c r="A1" s="90" t="s">
        <v>0</v>
      </c>
      <c r="B1" s="90"/>
      <c r="C1" s="90"/>
      <c r="E1" s="90" t="s">
        <v>96</v>
      </c>
      <c r="F1" s="90"/>
      <c r="G1" s="90"/>
      <c r="H1" s="90"/>
      <c r="I1" s="90"/>
      <c r="J1" s="90"/>
      <c r="K1" s="90"/>
    </row>
    <row r="2" spans="1:16" x14ac:dyDescent="0.3">
      <c r="A2" s="2" t="s">
        <v>1</v>
      </c>
      <c r="B2" s="2">
        <f>+'losa horm'!B2</f>
        <v>3.96</v>
      </c>
      <c r="C2" s="2" t="s">
        <v>5</v>
      </c>
      <c r="E2" s="17" t="s">
        <v>97</v>
      </c>
      <c r="F2" s="17">
        <f>+'COL horm'!F2</f>
        <v>23.454900000000002</v>
      </c>
      <c r="G2" s="17" t="s">
        <v>42</v>
      </c>
      <c r="I2" s="126" t="s">
        <v>234</v>
      </c>
      <c r="J2" s="126"/>
      <c r="K2" s="126"/>
    </row>
    <row r="3" spans="1:16" x14ac:dyDescent="0.3">
      <c r="A3" s="2" t="s">
        <v>2</v>
      </c>
      <c r="B3" s="2">
        <f>+'losa horm'!B3</f>
        <v>6.75</v>
      </c>
      <c r="C3" s="2" t="s">
        <v>5</v>
      </c>
      <c r="E3" s="9" t="s">
        <v>212</v>
      </c>
      <c r="F3" s="9">
        <f>+F2*B13*B6/0.85</f>
        <v>49.16698920000001</v>
      </c>
      <c r="G3" s="9" t="s">
        <v>40</v>
      </c>
      <c r="I3" s="125" t="s">
        <v>235</v>
      </c>
      <c r="J3" s="125"/>
      <c r="K3" s="125"/>
    </row>
    <row r="4" spans="1:16" x14ac:dyDescent="0.3">
      <c r="A4" s="2" t="s">
        <v>3</v>
      </c>
      <c r="B4" s="2">
        <f>+'losa horm'!B4</f>
        <v>4.5599999999999996</v>
      </c>
      <c r="C4" s="2" t="s">
        <v>5</v>
      </c>
      <c r="E4" s="9" t="s">
        <v>213</v>
      </c>
      <c r="F4" s="9">
        <f>+MIN(F22:F23)</f>
        <v>202.1019867128515</v>
      </c>
      <c r="G4" s="9" t="s">
        <v>40</v>
      </c>
      <c r="I4" s="2" t="s">
        <v>72</v>
      </c>
      <c r="J4" s="6"/>
      <c r="K4" s="2" t="s">
        <v>7</v>
      </c>
    </row>
    <row r="5" spans="1:16" x14ac:dyDescent="0.3">
      <c r="A5" s="2" t="s">
        <v>4</v>
      </c>
      <c r="B5" s="2">
        <f>+'losa horm'!B5</f>
        <v>4.2</v>
      </c>
      <c r="C5" s="2" t="s">
        <v>5</v>
      </c>
      <c r="E5" s="9" t="s">
        <v>57</v>
      </c>
      <c r="F5" s="102">
        <f>+F3/F4</f>
        <v>0.24327810923430929</v>
      </c>
      <c r="G5" s="103"/>
      <c r="I5" s="2" t="s">
        <v>236</v>
      </c>
      <c r="J5" s="3"/>
      <c r="K5" s="2" t="s">
        <v>12</v>
      </c>
    </row>
    <row r="6" spans="1:16" x14ac:dyDescent="0.3">
      <c r="A6" s="2" t="s">
        <v>6</v>
      </c>
      <c r="B6" s="5">
        <f>+'losa horm'!B6</f>
        <v>2</v>
      </c>
      <c r="C6" s="2" t="s">
        <v>7</v>
      </c>
      <c r="E6" s="91" t="s">
        <v>101</v>
      </c>
      <c r="F6" s="92"/>
      <c r="G6" s="93"/>
      <c r="I6" s="2" t="s">
        <v>214</v>
      </c>
      <c r="J6" s="3"/>
      <c r="K6" s="2" t="s">
        <v>12</v>
      </c>
    </row>
    <row r="7" spans="1:16" x14ac:dyDescent="0.3">
      <c r="A7" s="2" t="s">
        <v>8</v>
      </c>
      <c r="B7" s="2">
        <f>+'losa horm'!B7</f>
        <v>3.4</v>
      </c>
      <c r="C7" s="2" t="s">
        <v>5</v>
      </c>
      <c r="E7" s="2" t="s">
        <v>59</v>
      </c>
      <c r="F7" s="19">
        <v>24</v>
      </c>
      <c r="G7" s="21" t="str">
        <f>+IF(F7/F9/(J4+1)&lt;B35,A35,IF(F7/F9/(J4+1)&lt;B36,A36,"NCOMP"))</f>
        <v>COMP</v>
      </c>
      <c r="I7" s="2" t="s">
        <v>237</v>
      </c>
      <c r="J7" s="2">
        <f>+J6*J5^3 /12</f>
        <v>0</v>
      </c>
      <c r="K7" s="2" t="s">
        <v>19</v>
      </c>
    </row>
    <row r="8" spans="1:16" x14ac:dyDescent="0.3">
      <c r="A8" s="2"/>
      <c r="B8" s="112" t="str">
        <f>+'VIGAS horm'!B8</f>
        <v>Vivienda</v>
      </c>
      <c r="C8" s="113"/>
      <c r="E8" s="2" t="s">
        <v>160</v>
      </c>
      <c r="F8" s="19">
        <v>24</v>
      </c>
      <c r="G8" s="21" t="str">
        <f>+IF(F8/F9/(J11+1)&lt;B35,A35,IF(F8/F9/(J11+1)&lt;B36,A36,"NCOMP"))</f>
        <v>COMP</v>
      </c>
      <c r="I8" s="2" t="s">
        <v>18</v>
      </c>
      <c r="J8" s="2">
        <f>18.4*$F$9^4</f>
        <v>1.1499999999999999</v>
      </c>
      <c r="K8" s="2" t="s">
        <v>19</v>
      </c>
    </row>
    <row r="9" spans="1:16" x14ac:dyDescent="0.3">
      <c r="A9" s="2"/>
      <c r="B9" s="2"/>
      <c r="C9" s="2"/>
      <c r="E9" s="2" t="s">
        <v>214</v>
      </c>
      <c r="F9" s="19">
        <v>0.5</v>
      </c>
      <c r="G9" s="2" t="s">
        <v>12</v>
      </c>
      <c r="I9" s="108" t="str">
        <f>+IF(J7&gt;J8,"OK","NO")</f>
        <v>NO</v>
      </c>
      <c r="J9" s="109"/>
      <c r="K9" s="110"/>
    </row>
    <row r="10" spans="1:16" x14ac:dyDescent="0.3">
      <c r="E10" s="2" t="s">
        <v>112</v>
      </c>
      <c r="F10" s="2">
        <f>+F7*F8-(F7-2*F9)*(F8-2*F9)+J5*J6*2*J4*2+J12*J13*2*J11*2</f>
        <v>47</v>
      </c>
      <c r="G10" s="2" t="s">
        <v>68</v>
      </c>
      <c r="I10" s="125" t="s">
        <v>238</v>
      </c>
      <c r="J10" s="125"/>
      <c r="K10" s="125"/>
      <c r="P10" s="34" t="s">
        <v>225</v>
      </c>
    </row>
    <row r="11" spans="1:16" x14ac:dyDescent="0.3">
      <c r="A11" s="7" t="str">
        <f>+'losa horm'!A12</f>
        <v>Cm</v>
      </c>
      <c r="B11" s="7">
        <f>+'VIGAS MET'!B11</f>
        <v>0.47575000000000001</v>
      </c>
      <c r="C11" s="7" t="str">
        <f>+'losa horm'!C12</f>
        <v>t/m2</v>
      </c>
      <c r="E11" s="2" t="s">
        <v>39</v>
      </c>
      <c r="F11" s="2">
        <f>+F10*0.785</f>
        <v>36.895000000000003</v>
      </c>
      <c r="G11" s="2" t="s">
        <v>162</v>
      </c>
      <c r="I11" s="2" t="s">
        <v>72</v>
      </c>
      <c r="J11" s="6"/>
      <c r="K11" s="2" t="s">
        <v>7</v>
      </c>
    </row>
    <row r="12" spans="1:16" x14ac:dyDescent="0.3">
      <c r="A12" s="7" t="s">
        <v>53</v>
      </c>
      <c r="B12" s="7">
        <f>+'VIGAS horm'!B12</f>
        <v>0.2</v>
      </c>
      <c r="C12" s="7" t="s">
        <v>33</v>
      </c>
      <c r="E12" s="2" t="s">
        <v>163</v>
      </c>
      <c r="F12" s="2">
        <f>+F7*F8^3 /12-(F7-2*F9)*(F8-2*F9)^3 /12</f>
        <v>4327.9166666666679</v>
      </c>
      <c r="G12" s="2" t="s">
        <v>19</v>
      </c>
      <c r="I12" s="2" t="s">
        <v>236</v>
      </c>
      <c r="J12" s="3"/>
      <c r="K12" s="2" t="s">
        <v>12</v>
      </c>
      <c r="M12" s="1">
        <f>476-240</f>
        <v>236</v>
      </c>
    </row>
    <row r="13" spans="1:16" x14ac:dyDescent="0.3">
      <c r="A13" s="9" t="s">
        <v>54</v>
      </c>
      <c r="B13" s="9">
        <f>+B11*1.2+B12*1.6</f>
        <v>0.89090000000000003</v>
      </c>
      <c r="C13" s="9" t="s">
        <v>33</v>
      </c>
      <c r="E13" s="2" t="s">
        <v>164</v>
      </c>
      <c r="F13" s="2">
        <f>+F8*F7^3 /12-(F8-2*F9)*(F7-2*F9)^3 /12</f>
        <v>4327.9166666666679</v>
      </c>
      <c r="G13" s="2" t="s">
        <v>19</v>
      </c>
      <c r="I13" s="2" t="s">
        <v>214</v>
      </c>
      <c r="J13" s="3"/>
      <c r="K13" s="2" t="s">
        <v>12</v>
      </c>
    </row>
    <row r="14" spans="1:16" x14ac:dyDescent="0.3">
      <c r="E14" s="2" t="s">
        <v>165</v>
      </c>
      <c r="F14" s="2">
        <f>+F9*F8^2 /2+F9*(F7-2*F9)*(F8-F9)</f>
        <v>414.25</v>
      </c>
      <c r="G14" s="2" t="s">
        <v>166</v>
      </c>
      <c r="I14" s="2" t="s">
        <v>237</v>
      </c>
      <c r="J14" s="2">
        <f>+J13*J12^3 /12</f>
        <v>0</v>
      </c>
      <c r="K14" s="2" t="s">
        <v>19</v>
      </c>
      <c r="M14" s="11"/>
    </row>
    <row r="15" spans="1:16" ht="14.4" customHeight="1" x14ac:dyDescent="0.3">
      <c r="A15" s="2" t="s">
        <v>20</v>
      </c>
      <c r="B15" s="6">
        <v>50</v>
      </c>
      <c r="C15" s="2" t="s">
        <v>168</v>
      </c>
      <c r="E15" s="2" t="s">
        <v>215</v>
      </c>
      <c r="F15" s="2">
        <f>+F9*F7^2 /2+(F8-2*F9)*(F7-F9)*F9</f>
        <v>414.25</v>
      </c>
      <c r="G15" s="2" t="s">
        <v>166</v>
      </c>
      <c r="I15" s="2" t="s">
        <v>18</v>
      </c>
      <c r="J15" s="2">
        <f>18.4*$F$9^4</f>
        <v>1.1499999999999999</v>
      </c>
      <c r="K15" s="2" t="s">
        <v>19</v>
      </c>
      <c r="M15" s="11"/>
    </row>
    <row r="16" spans="1:16" x14ac:dyDescent="0.3">
      <c r="A16" s="2" t="s">
        <v>63</v>
      </c>
      <c r="B16" s="5">
        <f>+IF(I19="SI",B22,B20)</f>
        <v>5522.7779115144813</v>
      </c>
      <c r="C16" s="2" t="s">
        <v>62</v>
      </c>
      <c r="E16" s="2" t="s">
        <v>216</v>
      </c>
      <c r="F16" s="2">
        <f>+(F12/F10)^0.5</f>
        <v>9.5960061136565233</v>
      </c>
      <c r="G16" s="2" t="s">
        <v>12</v>
      </c>
      <c r="H16" s="11"/>
      <c r="I16" s="108" t="str">
        <f>+IF(J14&gt;J15,"OK","NO")</f>
        <v>NO</v>
      </c>
      <c r="J16" s="109"/>
      <c r="K16" s="110"/>
    </row>
    <row r="17" spans="1:13" ht="14.4" customHeight="1" x14ac:dyDescent="0.3">
      <c r="A17" s="2" t="s">
        <v>218</v>
      </c>
      <c r="B17" s="5">
        <f>+IF(I19="SI",B23,B21)</f>
        <v>2922049.5537366052</v>
      </c>
      <c r="C17" s="2" t="s">
        <v>62</v>
      </c>
      <c r="E17" s="2" t="s">
        <v>167</v>
      </c>
      <c r="F17" s="2">
        <f>+(F13/F10)^0.5</f>
        <v>9.5960061136565233</v>
      </c>
      <c r="G17" s="2" t="s">
        <v>12</v>
      </c>
      <c r="H17" s="11"/>
      <c r="I17" s="123" t="s">
        <v>226</v>
      </c>
      <c r="J17" s="123"/>
      <c r="K17" s="123"/>
    </row>
    <row r="18" spans="1:13" ht="14.4" customHeight="1" x14ac:dyDescent="0.3">
      <c r="A18" s="2" t="s">
        <v>217</v>
      </c>
      <c r="B18" s="2">
        <f>+(B17/B16)^0.5</f>
        <v>23.001968201192252</v>
      </c>
      <c r="C18" s="2"/>
      <c r="E18" s="2" t="s">
        <v>219</v>
      </c>
      <c r="F18" s="5">
        <f>1.2*B7*100/F16</f>
        <v>42.517688626662732</v>
      </c>
      <c r="G18" s="21" t="str">
        <f>+IF(F18&lt;200,"OK","NO")</f>
        <v>OK</v>
      </c>
      <c r="I18" s="123"/>
      <c r="J18" s="123"/>
      <c r="K18" s="123"/>
    </row>
    <row r="19" spans="1:13" ht="14.4" customHeight="1" x14ac:dyDescent="0.3">
      <c r="A19" s="2"/>
      <c r="B19" s="2"/>
      <c r="C19" s="2"/>
      <c r="E19" s="2" t="s">
        <v>220</v>
      </c>
      <c r="F19" s="5">
        <f>1.2*B7*100/F17</f>
        <v>42.517688626662732</v>
      </c>
      <c r="G19" s="21" t="str">
        <f>+IF(F19&lt;200,"OK","NO")</f>
        <v>OK</v>
      </c>
      <c r="I19" s="124" t="s">
        <v>227</v>
      </c>
      <c r="J19" s="124"/>
      <c r="K19" s="124"/>
    </row>
    <row r="20" spans="1:13" ht="14.4" customHeight="1" x14ac:dyDescent="0.3">
      <c r="A20" s="2" t="s">
        <v>63</v>
      </c>
      <c r="B20" s="5">
        <f>B15*1000/14.23</f>
        <v>3513.7034434293746</v>
      </c>
      <c r="C20" s="2" t="s">
        <v>62</v>
      </c>
      <c r="E20" s="2" t="s">
        <v>221</v>
      </c>
      <c r="F20" s="5">
        <f>3.1416^2*$B$17/F18^2</f>
        <v>15953.282619612746</v>
      </c>
      <c r="G20" s="2" t="s">
        <v>62</v>
      </c>
      <c r="I20" s="124"/>
      <c r="J20" s="124"/>
      <c r="K20" s="124"/>
      <c r="M20" s="11"/>
    </row>
    <row r="21" spans="1:13" x14ac:dyDescent="0.3">
      <c r="A21" s="2" t="s">
        <v>218</v>
      </c>
      <c r="B21" s="5">
        <v>2100000</v>
      </c>
      <c r="C21" s="2" t="s">
        <v>62</v>
      </c>
      <c r="E21" s="2" t="s">
        <v>222</v>
      </c>
      <c r="F21" s="5">
        <f>3.1416^2*$B$17/F19^2</f>
        <v>15953.282619612746</v>
      </c>
      <c r="G21" s="2" t="s">
        <v>62</v>
      </c>
      <c r="I21" s="125" t="s">
        <v>143</v>
      </c>
      <c r="J21" s="125"/>
      <c r="K21" s="125"/>
    </row>
    <row r="22" spans="1:13" x14ac:dyDescent="0.3">
      <c r="A22" s="2" t="s">
        <v>240</v>
      </c>
      <c r="B22" s="5">
        <f>+B20+0.85*J23*J25/F10</f>
        <v>5522.7779115144813</v>
      </c>
      <c r="C22" s="2" t="s">
        <v>62</v>
      </c>
      <c r="E22" s="7" t="s">
        <v>223</v>
      </c>
      <c r="F22" s="7">
        <f>+IF(F18&lt;4.71*$B$18,0.658^($B$16/F20)*$B$16*0.9*$F$10,0.877*F20*0.9*$F$10)/1000</f>
        <v>202.1019867128515</v>
      </c>
      <c r="G22" s="7" t="s">
        <v>40</v>
      </c>
      <c r="I22" s="2" t="s">
        <v>112</v>
      </c>
      <c r="J22" s="16">
        <f>+F10/F7/F8</f>
        <v>8.1597222222222224E-2</v>
      </c>
      <c r="K22" s="21" t="str">
        <f>+IF(J22&gt;4%,"OK","NO")</f>
        <v>OK</v>
      </c>
    </row>
    <row r="23" spans="1:13" x14ac:dyDescent="0.3">
      <c r="A23" s="2" t="s">
        <v>244</v>
      </c>
      <c r="B23" s="5">
        <f>+B21+0.4*J26*J25/F10</f>
        <v>2922049.5537366052</v>
      </c>
      <c r="C23" s="2" t="s">
        <v>62</v>
      </c>
      <c r="E23" s="7" t="s">
        <v>224</v>
      </c>
      <c r="F23" s="7">
        <f>+IF(F19&lt;4.71*$B$18,0.658^($B$16/F21)*$B$16*0.9*$F$10,0.877*F21*0.9*$F$10)/1000</f>
        <v>202.1019867128515</v>
      </c>
      <c r="G23" s="7" t="s">
        <v>40</v>
      </c>
      <c r="I23" s="2" t="s">
        <v>61</v>
      </c>
      <c r="J23" s="14">
        <v>210</v>
      </c>
      <c r="K23" s="21" t="str">
        <f>+IF(J23&gt;=210,"OK","NO")</f>
        <v>OK</v>
      </c>
    </row>
    <row r="24" spans="1:13" x14ac:dyDescent="0.3">
      <c r="A24" s="2" t="s">
        <v>242</v>
      </c>
      <c r="B24" s="127">
        <v>12600</v>
      </c>
      <c r="C24" s="128"/>
      <c r="E24" s="2"/>
      <c r="F24" s="2"/>
      <c r="G24" s="2"/>
      <c r="I24" s="2" t="s">
        <v>239</v>
      </c>
      <c r="J24" s="4">
        <f>ROUNDDOWN(MAX(F7:F8)*(B20/3/B21)^0.5,1)</f>
        <v>0.5</v>
      </c>
      <c r="K24" s="21" t="str">
        <f>+IF(F9&gt;=J24,"OK","NO")</f>
        <v>OK</v>
      </c>
    </row>
    <row r="25" spans="1:13" x14ac:dyDescent="0.3">
      <c r="I25" s="2" t="s">
        <v>241</v>
      </c>
      <c r="J25" s="2">
        <f>+F7*F8-F10</f>
        <v>529</v>
      </c>
      <c r="K25" s="2" t="s">
        <v>68</v>
      </c>
    </row>
    <row r="26" spans="1:13" x14ac:dyDescent="0.3">
      <c r="A26" s="2" t="s">
        <v>228</v>
      </c>
      <c r="B26" s="2">
        <f>F3*1000/0.9/F10/B20</f>
        <v>0.33080201244255325</v>
      </c>
      <c r="C26" s="2"/>
      <c r="E26" s="104" t="s">
        <v>127</v>
      </c>
      <c r="F26" s="104"/>
      <c r="G26" s="104"/>
      <c r="I26" s="2" t="s">
        <v>243</v>
      </c>
      <c r="J26" s="5">
        <f>+B24*J23^0.5</f>
        <v>182591.34700198693</v>
      </c>
      <c r="K26" s="2" t="s">
        <v>62</v>
      </c>
    </row>
    <row r="27" spans="1:13" x14ac:dyDescent="0.3">
      <c r="A27" s="2" t="s">
        <v>217</v>
      </c>
      <c r="B27" s="2">
        <f>+(B21/B20)^0.5</f>
        <v>24.447085715888509</v>
      </c>
      <c r="C27" s="2"/>
      <c r="E27" s="22" t="s">
        <v>128</v>
      </c>
      <c r="F27" s="2">
        <f>+F15*(2*B16-F3*1000/F10-(F3*1000-F3*1000/B6)/F10)/100000</f>
        <v>39.255972887503859</v>
      </c>
      <c r="G27" s="129">
        <f>+F27/F28</f>
        <v>1.063979478542399</v>
      </c>
    </row>
    <row r="28" spans="1:13" x14ac:dyDescent="0.3">
      <c r="A28" s="91" t="s">
        <v>229</v>
      </c>
      <c r="B28" s="92"/>
      <c r="C28" s="93"/>
      <c r="E28" s="22" t="s">
        <v>129</v>
      </c>
      <c r="F28" s="2">
        <f>+'VIGAS MET'!V45+'VIGAS MET'!Z45</f>
        <v>36.895422965565707</v>
      </c>
      <c r="G28" s="130"/>
    </row>
    <row r="29" spans="1:13" x14ac:dyDescent="0.3">
      <c r="A29" s="2" t="s">
        <v>230</v>
      </c>
      <c r="B29" s="2">
        <f>+IF(B26&lt;0.125,2.45*B27*(1-0.93*B26),MAX(0.77*B27*(2.93-B26),1.49*B27))</f>
        <v>48.927968315673994</v>
      </c>
      <c r="C29" s="2"/>
      <c r="E29" s="2"/>
      <c r="F29" s="2"/>
      <c r="G29" s="2"/>
    </row>
    <row r="30" spans="1:13" x14ac:dyDescent="0.3">
      <c r="A30" s="2" t="s">
        <v>231</v>
      </c>
      <c r="B30" s="2">
        <f>+IF(B26&lt;0.125,3.76*B27*(1-2.75*B26),MAX(1.12*B27*(2.33-B26),1.49*B27))</f>
        <v>54.739512312630559</v>
      </c>
      <c r="C30" s="2"/>
      <c r="E30" s="2"/>
      <c r="F30" s="2"/>
      <c r="G30" s="2"/>
    </row>
    <row r="31" spans="1:13" x14ac:dyDescent="0.3">
      <c r="A31" s="91" t="s">
        <v>232</v>
      </c>
      <c r="B31" s="92"/>
      <c r="C31" s="93"/>
      <c r="E31" s="2"/>
      <c r="F31" s="2"/>
      <c r="G31" s="2"/>
    </row>
    <row r="32" spans="1:13" x14ac:dyDescent="0.3">
      <c r="A32" s="2" t="s">
        <v>230</v>
      </c>
      <c r="B32" s="32">
        <f>1.4*B27</f>
        <v>34.22592000224391</v>
      </c>
      <c r="C32" s="2"/>
      <c r="E32" s="2"/>
      <c r="F32" s="2"/>
      <c r="G32" s="2"/>
    </row>
    <row r="33" spans="1:7" x14ac:dyDescent="0.3">
      <c r="A33" s="2" t="s">
        <v>231</v>
      </c>
      <c r="B33" s="32">
        <f>2.26*B27</f>
        <v>55.250413717908025</v>
      </c>
      <c r="C33" s="2"/>
      <c r="E33" s="2"/>
      <c r="F33" s="2"/>
      <c r="G33" s="2"/>
    </row>
    <row r="34" spans="1:7" x14ac:dyDescent="0.3">
      <c r="A34" s="91" t="s">
        <v>233</v>
      </c>
      <c r="B34" s="92"/>
      <c r="C34" s="93"/>
    </row>
    <row r="35" spans="1:7" x14ac:dyDescent="0.3">
      <c r="A35" s="2" t="s">
        <v>230</v>
      </c>
      <c r="B35" s="2">
        <f>+IF(I19="SI",B32,B29)</f>
        <v>34.22592000224391</v>
      </c>
      <c r="C35" s="2"/>
    </row>
    <row r="36" spans="1:7" x14ac:dyDescent="0.3">
      <c r="A36" s="2" t="s">
        <v>231</v>
      </c>
      <c r="B36" s="2">
        <f>+IF(I19="SI",B33,B30)</f>
        <v>55.250413717908025</v>
      </c>
      <c r="C36" s="2"/>
    </row>
  </sheetData>
  <mergeCells count="19">
    <mergeCell ref="A28:C28"/>
    <mergeCell ref="A31:C31"/>
    <mergeCell ref="A34:C34"/>
    <mergeCell ref="B24:C24"/>
    <mergeCell ref="E26:G26"/>
    <mergeCell ref="G27:G28"/>
    <mergeCell ref="I17:K18"/>
    <mergeCell ref="I19:K20"/>
    <mergeCell ref="I21:K21"/>
    <mergeCell ref="A1:C1"/>
    <mergeCell ref="B8:C8"/>
    <mergeCell ref="F5:G5"/>
    <mergeCell ref="E6:G6"/>
    <mergeCell ref="E1:K1"/>
    <mergeCell ref="I2:K2"/>
    <mergeCell ref="I3:K3"/>
    <mergeCell ref="I9:K9"/>
    <mergeCell ref="I10:K10"/>
    <mergeCell ref="I16:K16"/>
  </mergeCells>
  <conditionalFormatting sqref="F5:G5">
    <cfRule type="cellIs" dxfId="1" priority="2" operator="greaterThan">
      <formula>1</formula>
    </cfRule>
  </conditionalFormatting>
  <conditionalFormatting sqref="G27:G28">
    <cfRule type="cellIs" dxfId="0" priority="1" operator="lessThan">
      <formula>1</formula>
    </cfRule>
  </conditionalFormatting>
  <dataValidations disablePrompts="1" count="2">
    <dataValidation type="list" allowBlank="1" showInputMessage="1" showErrorMessage="1" sqref="B15" xr:uid="{E5E8D9FB-ECCB-4049-8B6C-E1B5665F45CA}">
      <formula1>"36,50"</formula1>
    </dataValidation>
    <dataValidation type="list" allowBlank="1" showInputMessage="1" showErrorMessage="1" sqref="I19:K20" xr:uid="{BB9734EC-7FE3-4E4B-A716-B452503EAF2B}">
      <formula1>"SI,NO"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7AE00-514E-4D35-B982-E95406028E10}">
  <dimension ref="A1:V32"/>
  <sheetViews>
    <sheetView zoomScale="130" zoomScaleNormal="130" workbookViewId="0">
      <selection activeCell="H8" sqref="H8"/>
    </sheetView>
  </sheetViews>
  <sheetFormatPr baseColWidth="10" defaultRowHeight="14.4" x14ac:dyDescent="0.3"/>
  <cols>
    <col min="1" max="2" width="8.77734375" style="1" customWidth="1"/>
    <col min="3" max="3" width="7.77734375" style="1" customWidth="1"/>
    <col min="4" max="4" width="1.44140625" style="1" customWidth="1"/>
    <col min="5" max="5" width="10" style="1" customWidth="1"/>
    <col min="6" max="6" width="8.33203125" style="1" customWidth="1"/>
    <col min="7" max="7" width="8.109375" style="1" customWidth="1"/>
    <col min="8" max="8" width="8.33203125" style="1" customWidth="1"/>
    <col min="9" max="9" width="2.5546875" style="1" customWidth="1"/>
    <col min="10" max="13" width="8.33203125" style="1" customWidth="1"/>
    <col min="14" max="16" width="7.77734375" style="1" customWidth="1"/>
    <col min="17" max="17" width="8.44140625" style="1" customWidth="1"/>
    <col min="18" max="20" width="8.33203125" style="1" customWidth="1"/>
    <col min="21" max="16384" width="11.5546875" style="1"/>
  </cols>
  <sheetData>
    <row r="1" spans="1:22" x14ac:dyDescent="0.3">
      <c r="A1" s="90" t="s">
        <v>256</v>
      </c>
      <c r="B1" s="90"/>
      <c r="C1" s="90"/>
      <c r="E1" s="90" t="s">
        <v>278</v>
      </c>
      <c r="F1" s="90"/>
      <c r="G1" s="90"/>
      <c r="H1" s="44"/>
      <c r="I1" s="42"/>
      <c r="J1" s="90" t="s">
        <v>279</v>
      </c>
      <c r="K1" s="90"/>
      <c r="L1" s="90"/>
      <c r="M1" s="44"/>
      <c r="O1" s="42" t="s">
        <v>268</v>
      </c>
      <c r="P1" s="42" t="s">
        <v>269</v>
      </c>
      <c r="Q1" s="1" t="s">
        <v>273</v>
      </c>
    </row>
    <row r="2" spans="1:22" x14ac:dyDescent="0.3">
      <c r="A2" s="2" t="s">
        <v>257</v>
      </c>
      <c r="B2" s="3">
        <v>1</v>
      </c>
      <c r="C2" s="2"/>
      <c r="E2" s="2" t="s">
        <v>267</v>
      </c>
      <c r="F2" s="2">
        <f>0.55*B11*B10/B9</f>
        <v>0.69813333333333338</v>
      </c>
      <c r="G2" s="2" t="s">
        <v>91</v>
      </c>
      <c r="J2" s="2" t="s">
        <v>267</v>
      </c>
      <c r="K2" s="2">
        <f>+F2</f>
        <v>0.69813333333333338</v>
      </c>
      <c r="L2" s="2" t="s">
        <v>91</v>
      </c>
      <c r="O2" s="1">
        <v>0</v>
      </c>
      <c r="P2" s="1">
        <f>+IF(O2&lt;$F$2,$B$7*$B$8*$B$9,$B$7*$B$8*$B$9*($F$2/O2)^$B$12)</f>
        <v>1.1903999999999999</v>
      </c>
      <c r="Q2" s="1">
        <f>+$B$2*P2/$B$3/$B$4/$B$5</f>
        <v>0.22044444444444442</v>
      </c>
      <c r="U2" s="1" t="s">
        <v>271</v>
      </c>
      <c r="V2" s="1" t="s">
        <v>22</v>
      </c>
    </row>
    <row r="3" spans="1:22" x14ac:dyDescent="0.3">
      <c r="A3" s="2" t="s">
        <v>258</v>
      </c>
      <c r="B3" s="3">
        <v>0.9</v>
      </c>
      <c r="C3" s="2"/>
      <c r="E3" s="2" t="s">
        <v>270</v>
      </c>
      <c r="F3" s="13">
        <v>0.45</v>
      </c>
      <c r="G3" s="2" t="s">
        <v>91</v>
      </c>
      <c r="J3" s="2" t="s">
        <v>270</v>
      </c>
      <c r="K3" s="13">
        <v>0.48</v>
      </c>
      <c r="L3" s="2" t="s">
        <v>91</v>
      </c>
      <c r="O3" s="1">
        <v>0.1</v>
      </c>
      <c r="P3" s="1">
        <f t="shared" ref="P3:P32" si="0">+IF(O3&lt;$F$2,$B$7*$B$8*$B$9,$B$7*$B$8*$B$9*($F$2/O3)^$B$12)</f>
        <v>1.1903999999999999</v>
      </c>
      <c r="Q3" s="1">
        <f t="shared" ref="Q3:Q32" si="1">+$B$2*P3/$B$3/$B$4/$B$5</f>
        <v>0.22044444444444442</v>
      </c>
      <c r="U3" s="1">
        <f>+F3</f>
        <v>0.45</v>
      </c>
      <c r="V3" s="1">
        <v>0</v>
      </c>
    </row>
    <row r="4" spans="1:22" x14ac:dyDescent="0.3">
      <c r="A4" s="2" t="s">
        <v>259</v>
      </c>
      <c r="B4" s="3">
        <v>1</v>
      </c>
      <c r="C4" s="2"/>
      <c r="E4" s="2" t="s">
        <v>269</v>
      </c>
      <c r="F4" s="2">
        <f>VLOOKUP(F3,$O$2:$P$32,2,1)</f>
        <v>1.1903999999999999</v>
      </c>
      <c r="G4" s="2"/>
      <c r="J4" s="2" t="s">
        <v>269</v>
      </c>
      <c r="K4" s="2">
        <f>VLOOKUP(K3,$O$2:$P$32,2,1)</f>
        <v>1.1903999999999999</v>
      </c>
      <c r="L4" s="2"/>
      <c r="O4" s="1">
        <v>0.2</v>
      </c>
      <c r="P4" s="1">
        <f t="shared" si="0"/>
        <v>1.1903999999999999</v>
      </c>
      <c r="Q4" s="1">
        <f t="shared" si="1"/>
        <v>0.22044444444444442</v>
      </c>
      <c r="U4" s="1">
        <f>+U3</f>
        <v>0.45</v>
      </c>
      <c r="V4" s="1">
        <f>+F4</f>
        <v>1.1903999999999999</v>
      </c>
    </row>
    <row r="5" spans="1:22" x14ac:dyDescent="0.3">
      <c r="A5" s="2" t="s">
        <v>260</v>
      </c>
      <c r="B5" s="3">
        <v>6</v>
      </c>
      <c r="C5" s="2"/>
      <c r="E5" s="7" t="s">
        <v>272</v>
      </c>
      <c r="F5" s="91">
        <f>+B2*F4/B3/B4/B5</f>
        <v>0.22044444444444442</v>
      </c>
      <c r="G5" s="93"/>
      <c r="J5" s="7" t="s">
        <v>272</v>
      </c>
      <c r="K5" s="91">
        <f>+B2*K4/B3/B4/B5</f>
        <v>0.22044444444444442</v>
      </c>
      <c r="L5" s="93"/>
      <c r="O5" s="1">
        <v>0.3</v>
      </c>
      <c r="P5" s="1">
        <f t="shared" si="0"/>
        <v>1.1903999999999999</v>
      </c>
      <c r="Q5" s="1">
        <f t="shared" si="1"/>
        <v>0.22044444444444442</v>
      </c>
    </row>
    <row r="6" spans="1:22" x14ac:dyDescent="0.3">
      <c r="A6" s="2"/>
      <c r="B6" s="2"/>
      <c r="C6" s="2"/>
      <c r="E6" s="2"/>
      <c r="F6" s="2"/>
      <c r="G6" s="2"/>
      <c r="J6" s="2"/>
      <c r="K6" s="2"/>
      <c r="L6" s="2"/>
      <c r="O6" s="1">
        <v>0.4</v>
      </c>
      <c r="P6" s="1">
        <f t="shared" si="0"/>
        <v>1.1903999999999999</v>
      </c>
      <c r="Q6" s="1">
        <f t="shared" si="1"/>
        <v>0.22044444444444442</v>
      </c>
      <c r="U6" s="1">
        <v>0</v>
      </c>
      <c r="V6" s="1">
        <f>+F4</f>
        <v>1.1903999999999999</v>
      </c>
    </row>
    <row r="7" spans="1:22" x14ac:dyDescent="0.3">
      <c r="A7" s="2" t="s">
        <v>261</v>
      </c>
      <c r="B7" s="3">
        <v>2.48</v>
      </c>
      <c r="C7" s="2"/>
      <c r="E7" s="2"/>
      <c r="F7" s="2"/>
      <c r="G7" s="2"/>
      <c r="J7" s="2"/>
      <c r="K7" s="2"/>
      <c r="L7" s="2"/>
      <c r="O7" s="1">
        <v>0.5</v>
      </c>
      <c r="P7" s="1">
        <f t="shared" si="0"/>
        <v>1.1903999999999999</v>
      </c>
      <c r="Q7" s="1">
        <f t="shared" si="1"/>
        <v>0.22044444444444442</v>
      </c>
      <c r="U7" s="1">
        <f>+U3</f>
        <v>0.45</v>
      </c>
      <c r="V7" s="1">
        <f>+F4</f>
        <v>1.1903999999999999</v>
      </c>
    </row>
    <row r="8" spans="1:22" x14ac:dyDescent="0.3">
      <c r="A8" s="2" t="s">
        <v>262</v>
      </c>
      <c r="B8" s="3">
        <v>0.4</v>
      </c>
      <c r="C8" s="2"/>
      <c r="E8" s="2"/>
      <c r="F8" s="2"/>
      <c r="G8" s="2"/>
      <c r="J8" s="2"/>
      <c r="K8" s="2"/>
      <c r="L8" s="2"/>
      <c r="O8" s="1">
        <v>0.6</v>
      </c>
      <c r="P8" s="1">
        <f t="shared" si="0"/>
        <v>1.1903999999999999</v>
      </c>
      <c r="Q8" s="1">
        <f t="shared" si="1"/>
        <v>0.22044444444444442</v>
      </c>
    </row>
    <row r="9" spans="1:22" x14ac:dyDescent="0.3">
      <c r="A9" s="2" t="s">
        <v>263</v>
      </c>
      <c r="B9" s="3">
        <v>1.2</v>
      </c>
      <c r="C9" s="2"/>
      <c r="E9" s="2"/>
      <c r="F9" s="2"/>
      <c r="G9" s="2"/>
      <c r="J9" s="2"/>
      <c r="K9" s="2"/>
      <c r="L9" s="2"/>
      <c r="O9" s="1">
        <v>0.7</v>
      </c>
      <c r="P9" s="1">
        <f t="shared" si="0"/>
        <v>1.1872256000000001</v>
      </c>
      <c r="Q9" s="1">
        <f t="shared" si="1"/>
        <v>0.2198565925925926</v>
      </c>
    </row>
    <row r="10" spans="1:22" x14ac:dyDescent="0.3">
      <c r="A10" s="2" t="s">
        <v>264</v>
      </c>
      <c r="B10" s="3">
        <v>1.19</v>
      </c>
      <c r="C10" s="2"/>
      <c r="E10" s="2"/>
      <c r="F10" s="2"/>
      <c r="G10" s="2"/>
      <c r="J10" s="2"/>
      <c r="K10" s="2"/>
      <c r="L10" s="2"/>
      <c r="O10" s="1">
        <v>0.8</v>
      </c>
      <c r="P10" s="1">
        <f t="shared" si="0"/>
        <v>1.0388223999999999</v>
      </c>
      <c r="Q10" s="1">
        <f t="shared" si="1"/>
        <v>0.1923745185185185</v>
      </c>
    </row>
    <row r="11" spans="1:22" x14ac:dyDescent="0.3">
      <c r="A11" s="2" t="s">
        <v>265</v>
      </c>
      <c r="B11" s="3">
        <v>1.28</v>
      </c>
      <c r="C11" s="2"/>
      <c r="E11" s="46"/>
      <c r="F11" s="46"/>
      <c r="G11" s="46"/>
      <c r="J11" s="46"/>
      <c r="K11" s="46"/>
      <c r="L11" s="46"/>
      <c r="O11" s="1">
        <v>0.9</v>
      </c>
      <c r="P11" s="1">
        <f t="shared" si="0"/>
        <v>0.92339768888888896</v>
      </c>
      <c r="Q11" s="1">
        <f t="shared" si="1"/>
        <v>0.1709995720164609</v>
      </c>
    </row>
    <row r="12" spans="1:22" x14ac:dyDescent="0.3">
      <c r="A12" s="2" t="s">
        <v>266</v>
      </c>
      <c r="B12" s="3">
        <v>1</v>
      </c>
      <c r="C12" s="2"/>
      <c r="E12" s="47"/>
      <c r="F12" s="47" t="s">
        <v>275</v>
      </c>
      <c r="G12" s="47" t="s">
        <v>276</v>
      </c>
      <c r="H12" s="47"/>
      <c r="I12" s="48"/>
      <c r="J12" s="47"/>
      <c r="K12" s="47" t="s">
        <v>275</v>
      </c>
      <c r="L12" s="47" t="s">
        <v>276</v>
      </c>
      <c r="M12" s="47"/>
      <c r="O12" s="1">
        <v>1</v>
      </c>
      <c r="P12" s="1">
        <f t="shared" si="0"/>
        <v>0.83105792000000001</v>
      </c>
      <c r="Q12" s="1">
        <f t="shared" si="1"/>
        <v>0.15389961481481482</v>
      </c>
    </row>
    <row r="13" spans="1:22" x14ac:dyDescent="0.3">
      <c r="A13" s="2"/>
      <c r="B13" s="2"/>
      <c r="C13" s="2"/>
      <c r="E13" s="2" t="s">
        <v>274</v>
      </c>
      <c r="F13" s="43">
        <v>2.5999999999999999E-3</v>
      </c>
      <c r="G13" s="16">
        <f>+F13*0.75*$B$5</f>
        <v>1.1699999999999999E-2</v>
      </c>
      <c r="H13" s="45" t="str">
        <f>+IF(G13&lt;2%,"OK","NO")</f>
        <v>OK</v>
      </c>
      <c r="I13" s="49"/>
      <c r="J13" s="2" t="s">
        <v>274</v>
      </c>
      <c r="K13" s="43">
        <v>3.2000000000000002E-3</v>
      </c>
      <c r="L13" s="16">
        <f>+K13*0.75*$B$5</f>
        <v>1.4400000000000001E-2</v>
      </c>
      <c r="M13" s="45" t="str">
        <f>+IF(L13&lt;2%,"OK","NO")</f>
        <v>OK</v>
      </c>
      <c r="O13" s="1">
        <v>1.1000000000000001</v>
      </c>
      <c r="P13" s="1">
        <f t="shared" si="0"/>
        <v>0.75550720000000005</v>
      </c>
      <c r="Q13" s="1">
        <f t="shared" si="1"/>
        <v>0.13990874074074075</v>
      </c>
    </row>
    <row r="14" spans="1:22" x14ac:dyDescent="0.3">
      <c r="A14" s="2"/>
      <c r="B14" s="2"/>
      <c r="C14" s="2"/>
      <c r="E14" s="2" t="s">
        <v>277</v>
      </c>
      <c r="F14" s="43">
        <v>2.2000000000000001E-3</v>
      </c>
      <c r="G14" s="16">
        <f>+F14*0.75*$B$5</f>
        <v>9.8999999999999991E-3</v>
      </c>
      <c r="H14" s="45" t="str">
        <f>+IF(G14&lt;2%,"OK","NO")</f>
        <v>OK</v>
      </c>
      <c r="I14" s="49"/>
      <c r="J14" s="2" t="s">
        <v>277</v>
      </c>
      <c r="K14" s="43">
        <v>2.5000000000000001E-3</v>
      </c>
      <c r="L14" s="16">
        <f>+K14*0.75*$B$5</f>
        <v>1.125E-2</v>
      </c>
      <c r="M14" s="45" t="str">
        <f>+IF(L14&lt;2%,"OK","NO")</f>
        <v>OK</v>
      </c>
      <c r="O14" s="1">
        <v>1.2</v>
      </c>
      <c r="P14" s="1">
        <f t="shared" si="0"/>
        <v>0.69254826666666669</v>
      </c>
      <c r="Q14" s="1">
        <f t="shared" si="1"/>
        <v>0.12824967901234569</v>
      </c>
    </row>
    <row r="15" spans="1:22" x14ac:dyDescent="0.3">
      <c r="A15" s="2"/>
      <c r="B15" s="2"/>
      <c r="C15" s="2"/>
      <c r="E15" s="2"/>
      <c r="F15" s="2"/>
      <c r="G15" s="2"/>
      <c r="J15" s="2"/>
      <c r="K15" s="2"/>
      <c r="L15" s="2"/>
      <c r="O15" s="1">
        <v>1.3</v>
      </c>
      <c r="P15" s="1">
        <f t="shared" si="0"/>
        <v>0.63927532307692314</v>
      </c>
      <c r="Q15" s="1">
        <f t="shared" si="1"/>
        <v>0.11838431908831909</v>
      </c>
    </row>
    <row r="16" spans="1:22" x14ac:dyDescent="0.3">
      <c r="A16" s="2"/>
      <c r="B16" s="2"/>
      <c r="C16" s="2"/>
      <c r="E16" s="2"/>
      <c r="F16" s="2"/>
      <c r="G16" s="2"/>
      <c r="J16" s="2"/>
      <c r="K16" s="2"/>
      <c r="L16" s="2"/>
      <c r="O16" s="1">
        <v>1.4</v>
      </c>
      <c r="P16" s="1">
        <f t="shared" si="0"/>
        <v>0.59361280000000005</v>
      </c>
      <c r="Q16" s="1">
        <f t="shared" si="1"/>
        <v>0.1099282962962963</v>
      </c>
    </row>
    <row r="17" spans="1:17" x14ac:dyDescent="0.3">
      <c r="A17" s="2"/>
      <c r="B17" s="2"/>
      <c r="C17" s="2"/>
      <c r="E17" s="2"/>
      <c r="F17" s="2"/>
      <c r="G17" s="2"/>
      <c r="J17" s="2"/>
      <c r="K17" s="2"/>
      <c r="L17" s="2"/>
      <c r="O17" s="1">
        <v>1.5</v>
      </c>
      <c r="P17" s="1">
        <f t="shared" si="0"/>
        <v>0.55403861333333326</v>
      </c>
      <c r="Q17" s="1">
        <f t="shared" si="1"/>
        <v>0.10259974320987653</v>
      </c>
    </row>
    <row r="18" spans="1:17" x14ac:dyDescent="0.3">
      <c r="O18" s="1">
        <v>1.6</v>
      </c>
      <c r="P18" s="1">
        <f t="shared" si="0"/>
        <v>0.51941119999999996</v>
      </c>
      <c r="Q18" s="1">
        <f t="shared" si="1"/>
        <v>9.618725925925925E-2</v>
      </c>
    </row>
    <row r="19" spans="1:17" x14ac:dyDescent="0.3">
      <c r="O19" s="1">
        <v>1.7</v>
      </c>
      <c r="P19" s="1">
        <f t="shared" si="0"/>
        <v>0.4888576</v>
      </c>
      <c r="Q19" s="1">
        <f t="shared" si="1"/>
        <v>9.0529185185185171E-2</v>
      </c>
    </row>
    <row r="20" spans="1:17" x14ac:dyDescent="0.3">
      <c r="O20" s="1">
        <v>1.8</v>
      </c>
      <c r="P20" s="1">
        <f t="shared" si="0"/>
        <v>0.46169884444444448</v>
      </c>
      <c r="Q20" s="1">
        <f t="shared" si="1"/>
        <v>8.5499786008230452E-2</v>
      </c>
    </row>
    <row r="21" spans="1:17" x14ac:dyDescent="0.3">
      <c r="O21" s="1">
        <v>1.9</v>
      </c>
      <c r="P21" s="1">
        <f t="shared" si="0"/>
        <v>0.43739890526315794</v>
      </c>
      <c r="Q21" s="1">
        <f t="shared" si="1"/>
        <v>8.0999797270955173E-2</v>
      </c>
    </row>
    <row r="22" spans="1:17" x14ac:dyDescent="0.3">
      <c r="O22" s="1">
        <v>2</v>
      </c>
      <c r="P22" s="1">
        <f t="shared" si="0"/>
        <v>0.41552896</v>
      </c>
      <c r="Q22" s="1">
        <f t="shared" si="1"/>
        <v>7.6949807407407408E-2</v>
      </c>
    </row>
    <row r="23" spans="1:17" x14ac:dyDescent="0.3">
      <c r="O23" s="1">
        <v>2.1</v>
      </c>
      <c r="P23" s="1">
        <f t="shared" si="0"/>
        <v>0.39574186666666661</v>
      </c>
      <c r="Q23" s="1">
        <f t="shared" si="1"/>
        <v>7.3285530864197521E-2</v>
      </c>
    </row>
    <row r="24" spans="1:17" x14ac:dyDescent="0.3">
      <c r="O24" s="1">
        <v>2.2000000000000002</v>
      </c>
      <c r="P24" s="1">
        <f t="shared" si="0"/>
        <v>0.37775360000000002</v>
      </c>
      <c r="Q24" s="1">
        <f t="shared" si="1"/>
        <v>6.9954370370370375E-2</v>
      </c>
    </row>
    <row r="25" spans="1:17" x14ac:dyDescent="0.3">
      <c r="O25" s="1">
        <v>2.2999999999999998</v>
      </c>
      <c r="P25" s="1">
        <f t="shared" si="0"/>
        <v>0.36132953043478266</v>
      </c>
      <c r="Q25" s="1">
        <f t="shared" si="1"/>
        <v>6.6912876006441233E-2</v>
      </c>
    </row>
    <row r="26" spans="1:17" x14ac:dyDescent="0.3">
      <c r="O26" s="1">
        <v>2.4</v>
      </c>
      <c r="P26" s="1">
        <f t="shared" si="0"/>
        <v>0.34627413333333334</v>
      </c>
      <c r="Q26" s="1">
        <f t="shared" si="1"/>
        <v>6.4124839506172843E-2</v>
      </c>
    </row>
    <row r="27" spans="1:17" x14ac:dyDescent="0.3">
      <c r="O27" s="1">
        <v>2.5</v>
      </c>
      <c r="P27" s="1">
        <f t="shared" si="0"/>
        <v>0.33242316799999999</v>
      </c>
      <c r="Q27" s="1">
        <f t="shared" si="1"/>
        <v>6.1559845925925921E-2</v>
      </c>
    </row>
    <row r="28" spans="1:17" x14ac:dyDescent="0.3">
      <c r="O28" s="1">
        <v>2.6</v>
      </c>
      <c r="P28" s="1">
        <f t="shared" si="0"/>
        <v>0.31963766153846157</v>
      </c>
      <c r="Q28" s="1">
        <f t="shared" si="1"/>
        <v>5.9192159544159545E-2</v>
      </c>
    </row>
    <row r="29" spans="1:17" x14ac:dyDescent="0.3">
      <c r="O29" s="1">
        <v>2.7</v>
      </c>
      <c r="P29" s="1">
        <f t="shared" si="0"/>
        <v>0.30779922962962963</v>
      </c>
      <c r="Q29" s="1">
        <f t="shared" si="1"/>
        <v>5.6999857338820299E-2</v>
      </c>
    </row>
    <row r="30" spans="1:17" x14ac:dyDescent="0.3">
      <c r="O30" s="1">
        <v>2.8</v>
      </c>
      <c r="P30" s="1">
        <f t="shared" si="0"/>
        <v>0.29680640000000003</v>
      </c>
      <c r="Q30" s="1">
        <f t="shared" si="1"/>
        <v>5.4964148148148151E-2</v>
      </c>
    </row>
    <row r="31" spans="1:17" x14ac:dyDescent="0.3">
      <c r="O31" s="1">
        <v>2.9</v>
      </c>
      <c r="P31" s="1">
        <f t="shared" si="0"/>
        <v>0.28657169655172415</v>
      </c>
      <c r="Q31" s="1">
        <f t="shared" si="1"/>
        <v>5.3068832694763729E-2</v>
      </c>
    </row>
    <row r="32" spans="1:17" x14ac:dyDescent="0.3">
      <c r="O32" s="1">
        <v>3</v>
      </c>
      <c r="P32" s="1">
        <f t="shared" si="0"/>
        <v>0.27701930666666663</v>
      </c>
      <c r="Q32" s="1">
        <f t="shared" si="1"/>
        <v>5.1299871604938263E-2</v>
      </c>
    </row>
  </sheetData>
  <mergeCells count="5">
    <mergeCell ref="A1:C1"/>
    <mergeCell ref="E1:G1"/>
    <mergeCell ref="F5:G5"/>
    <mergeCell ref="J1:L1"/>
    <mergeCell ref="K5:L5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DB41C-FCF1-4AE5-9853-4F20820544F7}">
  <dimension ref="A1"/>
  <sheetViews>
    <sheetView tabSelected="1" workbookViewId="0"/>
  </sheetViews>
  <sheetFormatPr baseColWidth="10"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7EA84-5D16-4620-93AB-56AC38AA2061}">
  <dimension ref="B4:F16"/>
  <sheetViews>
    <sheetView topLeftCell="A3" zoomScale="180" zoomScaleNormal="180" workbookViewId="0">
      <selection activeCell="D12" sqref="D12"/>
    </sheetView>
  </sheetViews>
  <sheetFormatPr baseColWidth="10" defaultRowHeight="14.4" x14ac:dyDescent="0.3"/>
  <cols>
    <col min="2" max="5" width="11.5546875" style="27"/>
    <col min="6" max="6" width="16.6640625" style="27" customWidth="1"/>
  </cols>
  <sheetData>
    <row r="4" spans="2:6" x14ac:dyDescent="0.3">
      <c r="B4" s="27">
        <v>1</v>
      </c>
      <c r="C4" s="27" t="s">
        <v>180</v>
      </c>
      <c r="D4" s="27" t="s">
        <v>181</v>
      </c>
    </row>
    <row r="5" spans="2:6" x14ac:dyDescent="0.3">
      <c r="B5" s="27">
        <v>2</v>
      </c>
      <c r="C5" s="27" t="s">
        <v>182</v>
      </c>
      <c r="D5" s="27" t="s">
        <v>183</v>
      </c>
    </row>
    <row r="6" spans="2:6" x14ac:dyDescent="0.3">
      <c r="B6" s="27">
        <v>3</v>
      </c>
      <c r="C6" s="27" t="s">
        <v>184</v>
      </c>
      <c r="D6" s="27" t="s">
        <v>181</v>
      </c>
      <c r="F6" s="27" t="s">
        <v>195</v>
      </c>
    </row>
    <row r="7" spans="2:6" x14ac:dyDescent="0.3">
      <c r="B7" s="27">
        <v>4</v>
      </c>
      <c r="C7" s="27" t="s">
        <v>185</v>
      </c>
    </row>
    <row r="8" spans="2:6" x14ac:dyDescent="0.3">
      <c r="B8" s="27">
        <v>5</v>
      </c>
      <c r="C8" s="27" t="s">
        <v>186</v>
      </c>
    </row>
    <row r="9" spans="2:6" x14ac:dyDescent="0.3">
      <c r="B9" s="27">
        <v>6</v>
      </c>
      <c r="C9" s="27" t="s">
        <v>187</v>
      </c>
    </row>
    <row r="10" spans="2:6" x14ac:dyDescent="0.3">
      <c r="B10" s="27">
        <v>7</v>
      </c>
      <c r="C10" s="27" t="s">
        <v>188</v>
      </c>
    </row>
    <row r="11" spans="2:6" x14ac:dyDescent="0.3">
      <c r="B11" s="27">
        <v>8</v>
      </c>
      <c r="C11" s="27" t="s">
        <v>189</v>
      </c>
    </row>
    <row r="12" spans="2:6" x14ac:dyDescent="0.3">
      <c r="B12" s="27">
        <v>9</v>
      </c>
      <c r="C12" s="27" t="s">
        <v>190</v>
      </c>
    </row>
    <row r="13" spans="2:6" x14ac:dyDescent="0.3">
      <c r="B13" s="27">
        <v>10</v>
      </c>
      <c r="C13" s="27" t="s">
        <v>191</v>
      </c>
    </row>
    <row r="14" spans="2:6" x14ac:dyDescent="0.3">
      <c r="B14" s="27">
        <v>11</v>
      </c>
      <c r="C14" s="27" t="s">
        <v>192</v>
      </c>
    </row>
    <row r="15" spans="2:6" x14ac:dyDescent="0.3">
      <c r="B15" s="27">
        <v>12</v>
      </c>
      <c r="C15" s="27" t="s">
        <v>193</v>
      </c>
    </row>
    <row r="16" spans="2:6" x14ac:dyDescent="0.3">
      <c r="B16" s="27">
        <v>13</v>
      </c>
      <c r="C16" s="27" t="s">
        <v>194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18E51-FEDE-418E-9F3C-D875BA7CBD37}">
  <sheetPr filterMode="1"/>
  <dimension ref="A1:AH46"/>
  <sheetViews>
    <sheetView topLeftCell="B1" zoomScale="120" zoomScaleNormal="120" workbookViewId="0">
      <selection activeCell="P8" sqref="P8"/>
    </sheetView>
  </sheetViews>
  <sheetFormatPr baseColWidth="10" defaultRowHeight="14.4" x14ac:dyDescent="0.3"/>
  <cols>
    <col min="1" max="1" width="0" style="27" hidden="1" customWidth="1"/>
    <col min="2" max="2" width="11.5546875" style="27" customWidth="1"/>
    <col min="3" max="6" width="11.5546875" style="27" hidden="1" customWidth="1"/>
    <col min="7" max="7" width="11.109375" style="27" hidden="1" customWidth="1"/>
    <col min="8" max="9" width="11.109375" style="27" customWidth="1"/>
    <col min="10" max="10" width="11.5546875" style="27"/>
    <col min="11" max="23" width="9.44140625" style="27" customWidth="1"/>
    <col min="24" max="24" width="9.88671875" style="27" customWidth="1"/>
    <col min="25" max="25" width="9.44140625" style="27" customWidth="1"/>
    <col min="26" max="26" width="1.33203125" style="27" customWidth="1"/>
    <col min="27" max="28" width="10" style="27" customWidth="1"/>
    <col min="29" max="30" width="11.5546875" style="27"/>
    <col min="31" max="32" width="9.88671875" style="27" customWidth="1"/>
    <col min="33" max="16384" width="11.5546875" style="27"/>
  </cols>
  <sheetData>
    <row r="1" spans="1:30" x14ac:dyDescent="0.3">
      <c r="I1" s="28" t="s">
        <v>306</v>
      </c>
      <c r="J1" s="53">
        <v>20</v>
      </c>
      <c r="K1" s="28" t="s">
        <v>33</v>
      </c>
      <c r="M1" s="28" t="s">
        <v>60</v>
      </c>
      <c r="N1" s="56">
        <v>5</v>
      </c>
      <c r="O1" s="28" t="s">
        <v>12</v>
      </c>
      <c r="Q1" s="28" t="s">
        <v>322</v>
      </c>
      <c r="R1" s="13">
        <v>1.5</v>
      </c>
      <c r="S1" s="28" t="s">
        <v>5</v>
      </c>
    </row>
    <row r="2" spans="1:30" x14ac:dyDescent="0.3">
      <c r="I2" s="28" t="s">
        <v>149</v>
      </c>
      <c r="J2" s="14">
        <v>30</v>
      </c>
      <c r="K2" s="28" t="s">
        <v>12</v>
      </c>
      <c r="M2" s="28" t="s">
        <v>61</v>
      </c>
      <c r="N2" s="53">
        <v>210</v>
      </c>
      <c r="O2" s="28" t="s">
        <v>62</v>
      </c>
    </row>
    <row r="5" spans="1:30" x14ac:dyDescent="0.3">
      <c r="A5" s="50" t="s">
        <v>280</v>
      </c>
      <c r="B5" s="50" t="s">
        <v>281</v>
      </c>
      <c r="C5" s="51" t="s">
        <v>282</v>
      </c>
      <c r="D5" s="51" t="s">
        <v>283</v>
      </c>
      <c r="E5" s="51" t="s">
        <v>284</v>
      </c>
      <c r="H5" s="51" t="s">
        <v>307</v>
      </c>
      <c r="I5" s="51" t="s">
        <v>308</v>
      </c>
      <c r="J5" s="51" t="s">
        <v>41</v>
      </c>
      <c r="K5" s="51" t="s">
        <v>313</v>
      </c>
      <c r="L5" s="51" t="s">
        <v>203</v>
      </c>
    </row>
    <row r="6" spans="1:30" x14ac:dyDescent="0.3">
      <c r="A6" s="52" t="s">
        <v>285</v>
      </c>
      <c r="B6" s="52" t="s">
        <v>286</v>
      </c>
      <c r="C6" s="1">
        <v>42.245399999999997</v>
      </c>
      <c r="D6" s="1">
        <v>-0.86009999999999998</v>
      </c>
      <c r="E6" s="1">
        <v>-10.7925</v>
      </c>
      <c r="F6" s="1">
        <f>+ABS(D6)</f>
        <v>0.86009999999999998</v>
      </c>
      <c r="G6" s="1">
        <f>+ABS(E6)</f>
        <v>10.7925</v>
      </c>
      <c r="H6" s="1">
        <f>+MAX(C6:C7)</f>
        <v>45.361699999999999</v>
      </c>
      <c r="I6" s="1">
        <f>+MAX(F6:G7)</f>
        <v>11.076700000000001</v>
      </c>
      <c r="J6" s="1">
        <f>+H6*1.45/$J$1</f>
        <v>3.2887232499999994</v>
      </c>
      <c r="K6" s="1">
        <f>+J6^0.5</f>
        <v>1.8134837330398086</v>
      </c>
      <c r="L6" s="1" t="str">
        <f>+IF(K6&lt;$K$32,$J$32,IF(K6&lt;$K$33,$J$33,IF(K6&lt;$K$34,$J$34,$J$35)))</f>
        <v>P4</v>
      </c>
      <c r="M6" s="1"/>
      <c r="N6" s="1"/>
      <c r="O6" s="1"/>
    </row>
    <row r="7" spans="1:30" hidden="1" x14ac:dyDescent="0.3">
      <c r="A7" s="52" t="s">
        <v>285</v>
      </c>
      <c r="B7" s="52" t="s">
        <v>286</v>
      </c>
      <c r="C7" s="1">
        <v>45.361699999999999</v>
      </c>
      <c r="D7" s="1">
        <v>11.076700000000001</v>
      </c>
      <c r="E7" s="1">
        <v>1.7342</v>
      </c>
      <c r="F7" s="1">
        <f t="shared" ref="F7:F29" si="0">+ABS(D7)</f>
        <v>11.076700000000001</v>
      </c>
      <c r="G7" s="1">
        <f t="shared" ref="G7:G29" si="1">+ABS(E7)</f>
        <v>1.7342</v>
      </c>
      <c r="H7" s="1"/>
      <c r="I7" s="1"/>
      <c r="J7" s="1"/>
      <c r="K7" s="1"/>
      <c r="L7" s="1"/>
      <c r="M7" s="1"/>
      <c r="N7" s="1"/>
      <c r="O7" s="1"/>
    </row>
    <row r="8" spans="1:30" x14ac:dyDescent="0.3">
      <c r="A8" s="52" t="s">
        <v>287</v>
      </c>
      <c r="B8" s="52" t="s">
        <v>288</v>
      </c>
      <c r="C8" s="1">
        <v>33.653199999999998</v>
      </c>
      <c r="D8" s="1">
        <v>0.3448</v>
      </c>
      <c r="E8" s="1">
        <v>-11.0991</v>
      </c>
      <c r="F8" s="1">
        <f t="shared" si="0"/>
        <v>0.3448</v>
      </c>
      <c r="G8" s="1">
        <f t="shared" si="1"/>
        <v>11.0991</v>
      </c>
      <c r="H8" s="1">
        <f t="shared" ref="H8" si="2">+MAX(C8:C9)</f>
        <v>33.653199999999998</v>
      </c>
      <c r="I8" s="1">
        <f t="shared" ref="I8" si="3">+MAX(F8:G9)</f>
        <v>12.4468</v>
      </c>
      <c r="J8" s="1">
        <f t="shared" ref="J8" si="4">+H8*1.45/$J$1</f>
        <v>2.4398569999999999</v>
      </c>
      <c r="K8" s="1">
        <f t="shared" ref="K8" si="5">+J8^0.5</f>
        <v>1.5620041613260831</v>
      </c>
      <c r="L8" s="1" t="s">
        <v>312</v>
      </c>
      <c r="M8" s="1"/>
      <c r="N8" s="1"/>
      <c r="O8" s="1"/>
      <c r="AD8" s="27">
        <f>2.1*0.6</f>
        <v>1.26</v>
      </c>
    </row>
    <row r="9" spans="1:30" hidden="1" x14ac:dyDescent="0.3">
      <c r="A9" s="52" t="s">
        <v>287</v>
      </c>
      <c r="B9" s="52" t="s">
        <v>288</v>
      </c>
      <c r="C9" s="1">
        <v>27.004100000000001</v>
      </c>
      <c r="D9" s="1">
        <v>12.4468</v>
      </c>
      <c r="E9" s="1">
        <v>2.0070000000000001</v>
      </c>
      <c r="F9" s="1">
        <f t="shared" si="0"/>
        <v>12.4468</v>
      </c>
      <c r="G9" s="1">
        <f t="shared" si="1"/>
        <v>2.0070000000000001</v>
      </c>
      <c r="H9" s="1"/>
      <c r="I9" s="1"/>
      <c r="J9" s="1"/>
      <c r="K9" s="1"/>
      <c r="L9" s="1"/>
      <c r="M9" s="1"/>
      <c r="N9" s="1"/>
      <c r="O9" s="1"/>
    </row>
    <row r="10" spans="1:30" x14ac:dyDescent="0.3">
      <c r="A10" s="52" t="s">
        <v>286</v>
      </c>
      <c r="B10" s="52" t="s">
        <v>289</v>
      </c>
      <c r="C10" s="1">
        <v>30.9754</v>
      </c>
      <c r="D10" s="1">
        <v>-1.2468999999999999</v>
      </c>
      <c r="E10" s="1">
        <v>-13.581899999999999</v>
      </c>
      <c r="F10" s="1">
        <f t="shared" si="0"/>
        <v>1.2468999999999999</v>
      </c>
      <c r="G10" s="1">
        <f t="shared" si="1"/>
        <v>13.581899999999999</v>
      </c>
      <c r="H10" s="1">
        <f t="shared" ref="H10" si="6">+MAX(C10:C11)</f>
        <v>34.558399999999999</v>
      </c>
      <c r="I10" s="1">
        <f t="shared" ref="I10" si="7">+MAX(F10:G11)</f>
        <v>13.581899999999999</v>
      </c>
      <c r="J10" s="1">
        <f t="shared" ref="J10" si="8">+H10*1.45/$J$1</f>
        <v>2.505484</v>
      </c>
      <c r="K10" s="1">
        <f t="shared" ref="K10" si="9">+J10^0.5</f>
        <v>1.5828720731632104</v>
      </c>
      <c r="L10" s="1" t="s">
        <v>312</v>
      </c>
      <c r="M10" s="1"/>
      <c r="N10" s="1"/>
      <c r="O10" s="1"/>
    </row>
    <row r="11" spans="1:30" hidden="1" x14ac:dyDescent="0.3">
      <c r="A11" s="52" t="s">
        <v>286</v>
      </c>
      <c r="B11" s="52" t="s">
        <v>289</v>
      </c>
      <c r="C11" s="1">
        <v>34.558399999999999</v>
      </c>
      <c r="D11" s="1">
        <v>9.5214999999999996</v>
      </c>
      <c r="E11" s="1">
        <v>-2.1358999999999999</v>
      </c>
      <c r="F11" s="1">
        <f t="shared" si="0"/>
        <v>9.5214999999999996</v>
      </c>
      <c r="G11" s="1">
        <f t="shared" si="1"/>
        <v>2.1358999999999999</v>
      </c>
      <c r="H11" s="1"/>
      <c r="I11" s="1"/>
      <c r="J11" s="1"/>
      <c r="K11" s="1"/>
      <c r="L11" s="1"/>
      <c r="M11" s="1"/>
      <c r="N11" s="1"/>
      <c r="O11" s="1"/>
    </row>
    <row r="12" spans="1:30" x14ac:dyDescent="0.3">
      <c r="A12" s="52" t="s">
        <v>290</v>
      </c>
      <c r="B12" s="52" t="s">
        <v>291</v>
      </c>
      <c r="C12" s="1">
        <v>24.4785</v>
      </c>
      <c r="D12" s="1">
        <v>-0.82040000000000002</v>
      </c>
      <c r="E12" s="1">
        <v>-12.898999999999999</v>
      </c>
      <c r="F12" s="1">
        <f t="shared" si="0"/>
        <v>0.82040000000000002</v>
      </c>
      <c r="G12" s="1">
        <f t="shared" si="1"/>
        <v>12.898999999999999</v>
      </c>
      <c r="H12" s="1">
        <f t="shared" ref="H12" si="10">+MAX(C12:C13)</f>
        <v>24.4785</v>
      </c>
      <c r="I12" s="1">
        <f t="shared" ref="I12" si="11">+MAX(F12:G13)</f>
        <v>12.898999999999999</v>
      </c>
      <c r="J12" s="1">
        <f t="shared" ref="J12" si="12">+H12*1.45/$J$1</f>
        <v>1.7746912500000001</v>
      </c>
      <c r="K12" s="1">
        <f t="shared" ref="K12" si="13">+J12^0.5</f>
        <v>1.3321753825979521</v>
      </c>
      <c r="L12" s="1" t="s">
        <v>312</v>
      </c>
      <c r="M12" s="1"/>
      <c r="N12" s="1"/>
      <c r="O12" s="1"/>
    </row>
    <row r="13" spans="1:30" hidden="1" x14ac:dyDescent="0.3">
      <c r="A13" s="52" t="s">
        <v>290</v>
      </c>
      <c r="B13" s="52" t="s">
        <v>291</v>
      </c>
      <c r="C13" s="1">
        <v>20.5703</v>
      </c>
      <c r="D13" s="1">
        <v>10.334300000000001</v>
      </c>
      <c r="E13" s="1">
        <v>-1.0351999999999999</v>
      </c>
      <c r="F13" s="1">
        <f t="shared" si="0"/>
        <v>10.334300000000001</v>
      </c>
      <c r="G13" s="1">
        <f t="shared" si="1"/>
        <v>1.0351999999999999</v>
      </c>
      <c r="H13" s="1"/>
      <c r="I13" s="1"/>
      <c r="J13" s="1"/>
      <c r="K13" s="1"/>
      <c r="L13" s="1"/>
      <c r="M13" s="1"/>
      <c r="N13" s="1"/>
      <c r="O13" s="1"/>
    </row>
    <row r="14" spans="1:30" hidden="1" x14ac:dyDescent="0.3">
      <c r="A14" s="52" t="s">
        <v>292</v>
      </c>
      <c r="B14" s="52" t="s">
        <v>293</v>
      </c>
      <c r="C14" s="1">
        <v>7.7640000000000002</v>
      </c>
      <c r="D14" s="1">
        <v>-0.29470000000000002</v>
      </c>
      <c r="E14" s="1">
        <v>-2.0459999999999998</v>
      </c>
      <c r="F14" s="1">
        <f t="shared" si="0"/>
        <v>0.29470000000000002</v>
      </c>
      <c r="G14" s="1">
        <f t="shared" si="1"/>
        <v>2.0459999999999998</v>
      </c>
      <c r="H14" s="1">
        <f t="shared" ref="H14" si="14">+MAX(C14:C15)</f>
        <v>13.841799999999999</v>
      </c>
      <c r="I14" s="1">
        <f t="shared" ref="I14" si="15">+MAX(F14:G15)</f>
        <v>2.0459999999999998</v>
      </c>
      <c r="J14" s="1">
        <f t="shared" ref="J14" si="16">+H14*1.45/$J$1</f>
        <v>1.0035304999999999</v>
      </c>
      <c r="K14" s="1">
        <f t="shared" ref="K14" si="17">+J14^0.5</f>
        <v>1.0017636946905193</v>
      </c>
      <c r="L14" s="1" t="s">
        <v>310</v>
      </c>
      <c r="M14" s="1"/>
      <c r="N14" s="1"/>
      <c r="O14" s="1"/>
    </row>
    <row r="15" spans="1:30" hidden="1" x14ac:dyDescent="0.3">
      <c r="A15" s="52" t="s">
        <v>292</v>
      </c>
      <c r="B15" s="52" t="s">
        <v>293</v>
      </c>
      <c r="C15" s="1">
        <v>13.841799999999999</v>
      </c>
      <c r="D15" s="1">
        <v>1.9817</v>
      </c>
      <c r="E15" s="1">
        <v>0.26690000000000003</v>
      </c>
      <c r="F15" s="1">
        <f t="shared" si="0"/>
        <v>1.9817</v>
      </c>
      <c r="G15" s="1">
        <f t="shared" si="1"/>
        <v>0.26690000000000003</v>
      </c>
      <c r="H15" s="1"/>
      <c r="I15" s="1"/>
      <c r="J15" s="1"/>
      <c r="K15" s="1"/>
      <c r="L15" s="1"/>
      <c r="M15" s="1"/>
      <c r="N15" s="1"/>
      <c r="O15" s="1"/>
    </row>
    <row r="16" spans="1:30" hidden="1" x14ac:dyDescent="0.3">
      <c r="A16" s="52" t="s">
        <v>288</v>
      </c>
      <c r="B16" s="52" t="s">
        <v>294</v>
      </c>
      <c r="C16" s="1">
        <v>2.3953000000000002</v>
      </c>
      <c r="D16" s="1">
        <v>0.14760000000000001</v>
      </c>
      <c r="E16" s="1">
        <v>-1.9683999999999999</v>
      </c>
      <c r="F16" s="1">
        <f t="shared" si="0"/>
        <v>0.14760000000000001</v>
      </c>
      <c r="G16" s="1">
        <f t="shared" si="1"/>
        <v>1.9683999999999999</v>
      </c>
      <c r="H16" s="1">
        <f t="shared" ref="H16" si="18">+MAX(C16:C17)</f>
        <v>6.7294999999999998</v>
      </c>
      <c r="I16" s="1">
        <f t="shared" ref="I16" si="19">+MAX(F16:G17)</f>
        <v>2.5838000000000001</v>
      </c>
      <c r="J16" s="1">
        <f t="shared" ref="J16" si="20">+H16*1.45/$J$1</f>
        <v>0.48788874999999993</v>
      </c>
      <c r="K16" s="1">
        <f t="shared" ref="K16" si="21">+J16^0.5</f>
        <v>0.69849033636837088</v>
      </c>
      <c r="L16" s="1" t="str">
        <f t="shared" ref="L16" si="22">+IF(K16&lt;$K$32,$J$32,IF(K16&lt;$K$33,$J$33,IF(K16&lt;$K$34,$J$34,$J$35)))</f>
        <v>P1</v>
      </c>
      <c r="M16" s="1"/>
      <c r="N16" s="1"/>
      <c r="O16" s="1"/>
    </row>
    <row r="17" spans="1:34" hidden="1" x14ac:dyDescent="0.3">
      <c r="A17" s="52" t="s">
        <v>288</v>
      </c>
      <c r="B17" s="52" t="s">
        <v>294</v>
      </c>
      <c r="C17" s="1">
        <v>6.7294999999999998</v>
      </c>
      <c r="D17" s="1">
        <v>2.5838000000000001</v>
      </c>
      <c r="E17" s="1">
        <v>0.38440000000000002</v>
      </c>
      <c r="F17" s="1">
        <f t="shared" si="0"/>
        <v>2.5838000000000001</v>
      </c>
      <c r="G17" s="1">
        <f t="shared" si="1"/>
        <v>0.38440000000000002</v>
      </c>
      <c r="H17" s="1"/>
      <c r="I17" s="1"/>
      <c r="J17" s="1"/>
      <c r="K17" s="1"/>
      <c r="L17" s="1"/>
      <c r="M17" s="1"/>
      <c r="N17" s="1"/>
      <c r="O17" s="1"/>
    </row>
    <row r="18" spans="1:34" hidden="1" x14ac:dyDescent="0.3">
      <c r="A18" s="52" t="s">
        <v>295</v>
      </c>
      <c r="B18" s="52" t="s">
        <v>296</v>
      </c>
      <c r="C18" s="1">
        <v>29.032399999999999</v>
      </c>
      <c r="D18" s="1">
        <v>0.75570000000000004</v>
      </c>
      <c r="E18" s="1">
        <v>-3.3965000000000001</v>
      </c>
      <c r="F18" s="1">
        <f t="shared" si="0"/>
        <v>0.75570000000000004</v>
      </c>
      <c r="G18" s="1">
        <f t="shared" si="1"/>
        <v>3.3965000000000001</v>
      </c>
      <c r="H18" s="1">
        <f t="shared" ref="H18" si="23">+MAX(C18:C19)</f>
        <v>29.200500000000002</v>
      </c>
      <c r="I18" s="1">
        <f t="shared" ref="I18" si="24">+MAX(F18:G19)</f>
        <v>3.3965000000000001</v>
      </c>
      <c r="J18" s="1">
        <f t="shared" ref="J18" si="25">+H18*1.45/$J$1</f>
        <v>2.11703625</v>
      </c>
      <c r="K18" s="1">
        <f t="shared" ref="K18" si="26">+J18^0.5</f>
        <v>1.4550038659742455</v>
      </c>
      <c r="L18" s="1" t="s">
        <v>311</v>
      </c>
      <c r="M18" s="1"/>
      <c r="N18" s="1"/>
      <c r="O18" s="1"/>
    </row>
    <row r="19" spans="1:34" hidden="1" x14ac:dyDescent="0.3">
      <c r="A19" s="52" t="s">
        <v>295</v>
      </c>
      <c r="B19" s="52" t="s">
        <v>296</v>
      </c>
      <c r="C19" s="1">
        <v>29.200500000000002</v>
      </c>
      <c r="D19" s="1">
        <v>2.9948999999999999</v>
      </c>
      <c r="E19" s="1">
        <v>0.51190000000000002</v>
      </c>
      <c r="F19" s="1">
        <f t="shared" si="0"/>
        <v>2.9948999999999999</v>
      </c>
      <c r="G19" s="1">
        <f t="shared" si="1"/>
        <v>0.51190000000000002</v>
      </c>
      <c r="H19" s="1"/>
      <c r="I19" s="1"/>
      <c r="J19" s="1"/>
      <c r="K19" s="1"/>
      <c r="L19" s="1"/>
      <c r="M19" s="1"/>
      <c r="N19" s="1"/>
      <c r="O19" s="1"/>
    </row>
    <row r="20" spans="1:34" hidden="1" x14ac:dyDescent="0.3">
      <c r="A20" s="52" t="s">
        <v>297</v>
      </c>
      <c r="B20" s="52" t="s">
        <v>298</v>
      </c>
      <c r="C20" s="1">
        <v>8.3102</v>
      </c>
      <c r="D20" s="1">
        <v>0.51370000000000005</v>
      </c>
      <c r="E20" s="1">
        <v>-1.7421</v>
      </c>
      <c r="F20" s="1">
        <f t="shared" si="0"/>
        <v>0.51370000000000005</v>
      </c>
      <c r="G20" s="1">
        <f t="shared" si="1"/>
        <v>1.7421</v>
      </c>
      <c r="H20" s="1">
        <f t="shared" ref="H20" si="27">+MAX(C20:C21)</f>
        <v>11.7349</v>
      </c>
      <c r="I20" s="1">
        <f t="shared" ref="I20" si="28">+MAX(F20:G21)</f>
        <v>2.3147000000000002</v>
      </c>
      <c r="J20" s="1">
        <f t="shared" ref="J20" si="29">+H20*1.45/$J$1</f>
        <v>0.85078025000000002</v>
      </c>
      <c r="K20" s="1">
        <f t="shared" ref="K20" si="30">+J20^0.5</f>
        <v>0.92237749864141849</v>
      </c>
      <c r="L20" s="1" t="s">
        <v>310</v>
      </c>
      <c r="M20" s="1"/>
      <c r="N20" s="1"/>
      <c r="O20" s="1"/>
    </row>
    <row r="21" spans="1:34" hidden="1" x14ac:dyDescent="0.3">
      <c r="A21" s="52" t="s">
        <v>297</v>
      </c>
      <c r="B21" s="52" t="s">
        <v>298</v>
      </c>
      <c r="C21" s="1">
        <v>11.7349</v>
      </c>
      <c r="D21" s="1">
        <v>2.3147000000000002</v>
      </c>
      <c r="E21" s="1">
        <v>7.9799999999999996E-2</v>
      </c>
      <c r="F21" s="1">
        <f t="shared" si="0"/>
        <v>2.3147000000000002</v>
      </c>
      <c r="G21" s="1">
        <f t="shared" si="1"/>
        <v>7.9799999999999996E-2</v>
      </c>
      <c r="H21" s="1"/>
      <c r="I21" s="1"/>
      <c r="J21" s="1"/>
      <c r="K21" s="1"/>
      <c r="L21" s="1"/>
      <c r="M21" s="1"/>
      <c r="N21" s="1"/>
      <c r="O21" s="1"/>
    </row>
    <row r="22" spans="1:34" hidden="1" x14ac:dyDescent="0.3">
      <c r="A22" s="52" t="s">
        <v>289</v>
      </c>
      <c r="B22" s="52" t="s">
        <v>299</v>
      </c>
      <c r="C22" s="1">
        <v>17.533899999999999</v>
      </c>
      <c r="D22" s="1">
        <v>0.2828</v>
      </c>
      <c r="E22" s="1">
        <v>-2.9355000000000002</v>
      </c>
      <c r="F22" s="1">
        <f t="shared" si="0"/>
        <v>0.2828</v>
      </c>
      <c r="G22" s="1">
        <f t="shared" si="1"/>
        <v>2.9355000000000002</v>
      </c>
      <c r="H22" s="1">
        <f t="shared" ref="H22" si="31">+MAX(C22:C23)</f>
        <v>18.290199999999999</v>
      </c>
      <c r="I22" s="1">
        <f t="shared" ref="I22" si="32">+MAX(F22:G23)</f>
        <v>2.9355000000000002</v>
      </c>
      <c r="J22" s="1">
        <f t="shared" ref="J22" si="33">+H22*1.45/$J$1</f>
        <v>1.3260394999999998</v>
      </c>
      <c r="K22" s="1">
        <f t="shared" ref="K22" si="34">+J22^0.5</f>
        <v>1.1515378847437021</v>
      </c>
      <c r="L22" s="1" t="s">
        <v>310</v>
      </c>
      <c r="M22" s="1"/>
      <c r="N22" s="1"/>
      <c r="O22" s="1"/>
    </row>
    <row r="23" spans="1:34" hidden="1" x14ac:dyDescent="0.3">
      <c r="A23" s="52" t="s">
        <v>289</v>
      </c>
      <c r="B23" s="52" t="s">
        <v>299</v>
      </c>
      <c r="C23" s="1">
        <v>18.290199999999999</v>
      </c>
      <c r="D23" s="1">
        <v>1.8874</v>
      </c>
      <c r="E23" s="1">
        <v>-1.3340000000000001</v>
      </c>
      <c r="F23" s="1">
        <f t="shared" si="0"/>
        <v>1.8874</v>
      </c>
      <c r="G23" s="1">
        <f t="shared" si="1"/>
        <v>1.3340000000000001</v>
      </c>
      <c r="H23" s="1"/>
      <c r="I23" s="1"/>
      <c r="J23" s="1"/>
      <c r="K23" s="1"/>
      <c r="L23" s="1"/>
      <c r="M23" s="1"/>
      <c r="N23" s="1"/>
      <c r="O23" s="1"/>
    </row>
    <row r="24" spans="1:34" hidden="1" x14ac:dyDescent="0.3">
      <c r="A24" s="52" t="s">
        <v>300</v>
      </c>
      <c r="B24" s="52" t="s">
        <v>301</v>
      </c>
      <c r="C24" s="1">
        <v>19.543500000000002</v>
      </c>
      <c r="D24" s="1">
        <v>8.4199999999999997E-2</v>
      </c>
      <c r="E24" s="1">
        <v>-2.1907999999999999</v>
      </c>
      <c r="F24" s="1">
        <f t="shared" si="0"/>
        <v>8.4199999999999997E-2</v>
      </c>
      <c r="G24" s="1">
        <f t="shared" si="1"/>
        <v>2.1907999999999999</v>
      </c>
      <c r="H24" s="1">
        <f t="shared" ref="H24" si="35">+MAX(C24:C25)</f>
        <v>19.543500000000002</v>
      </c>
      <c r="I24" s="1">
        <f t="shared" ref="I24" si="36">+MAX(F24:G25)</f>
        <v>2.1907999999999999</v>
      </c>
      <c r="J24" s="1">
        <f t="shared" ref="J24" si="37">+H24*1.45/$J$1</f>
        <v>1.4169037499999999</v>
      </c>
      <c r="K24" s="1">
        <f t="shared" ref="K24" si="38">+J24^0.5</f>
        <v>1.1903376621782578</v>
      </c>
      <c r="L24" s="1" t="s">
        <v>310</v>
      </c>
      <c r="M24" s="1"/>
      <c r="N24" s="1"/>
      <c r="O24" s="1"/>
    </row>
    <row r="25" spans="1:34" hidden="1" x14ac:dyDescent="0.3">
      <c r="A25" s="52" t="s">
        <v>300</v>
      </c>
      <c r="B25" s="52" t="s">
        <v>301</v>
      </c>
      <c r="C25" s="1">
        <v>16.790400000000002</v>
      </c>
      <c r="D25" s="1">
        <v>1.6306</v>
      </c>
      <c r="E25" s="1">
        <v>0.2369</v>
      </c>
      <c r="F25" s="1">
        <f t="shared" si="0"/>
        <v>1.6306</v>
      </c>
      <c r="G25" s="1">
        <f t="shared" si="1"/>
        <v>0.2369</v>
      </c>
      <c r="H25" s="1"/>
      <c r="I25" s="1"/>
      <c r="J25" s="1"/>
      <c r="K25" s="1"/>
      <c r="L25" s="1"/>
      <c r="M25" s="1"/>
      <c r="N25" s="1"/>
      <c r="O25" s="1"/>
    </row>
    <row r="26" spans="1:34" hidden="1" x14ac:dyDescent="0.3">
      <c r="A26" s="52" t="s">
        <v>302</v>
      </c>
      <c r="B26" s="52" t="s">
        <v>303</v>
      </c>
      <c r="C26" s="1">
        <v>9.8423999999999996</v>
      </c>
      <c r="D26" s="1">
        <v>-0.20680000000000001</v>
      </c>
      <c r="E26" s="1">
        <v>-2.1093999999999999</v>
      </c>
      <c r="F26" s="1">
        <f t="shared" si="0"/>
        <v>0.20680000000000001</v>
      </c>
      <c r="G26" s="1">
        <f t="shared" si="1"/>
        <v>2.1093999999999999</v>
      </c>
      <c r="H26" s="1">
        <f t="shared" ref="H26" si="39">+MAX(C26:C27)</f>
        <v>9.8423999999999996</v>
      </c>
      <c r="I26" s="1">
        <f t="shared" ref="I26" si="40">+MAX(F26:G27)</f>
        <v>2.1093999999999999</v>
      </c>
      <c r="J26" s="1">
        <f t="shared" ref="J26" si="41">+H26*1.45/$J$1</f>
        <v>0.71357399999999993</v>
      </c>
      <c r="K26" s="1">
        <f t="shared" ref="K26" si="42">+J26^0.5</f>
        <v>0.8447330939415123</v>
      </c>
      <c r="L26" s="1" t="str">
        <f t="shared" ref="L26" si="43">+IF(K26&lt;$K$32,$J$32,IF(K26&lt;$K$33,$J$33,IF(K26&lt;$K$34,$J$34,$J$35)))</f>
        <v>P1</v>
      </c>
      <c r="M26" s="1"/>
      <c r="N26" s="1"/>
      <c r="O26" s="1"/>
    </row>
    <row r="27" spans="1:34" hidden="1" x14ac:dyDescent="0.3">
      <c r="A27" s="52" t="s">
        <v>302</v>
      </c>
      <c r="B27" s="52" t="s">
        <v>303</v>
      </c>
      <c r="C27" s="1">
        <v>3.9336000000000002</v>
      </c>
      <c r="D27" s="1">
        <v>1.6801999999999999</v>
      </c>
      <c r="E27" s="1">
        <v>-0.25900000000000001</v>
      </c>
      <c r="F27" s="1">
        <f t="shared" si="0"/>
        <v>1.6801999999999999</v>
      </c>
      <c r="G27" s="1">
        <f t="shared" si="1"/>
        <v>0.25900000000000001</v>
      </c>
      <c r="H27" s="1"/>
      <c r="I27" s="1"/>
      <c r="J27" s="1"/>
      <c r="K27" s="1"/>
      <c r="L27" s="1"/>
      <c r="M27" s="1"/>
      <c r="N27" s="1"/>
      <c r="O27" s="1"/>
    </row>
    <row r="28" spans="1:34" hidden="1" x14ac:dyDescent="0.3">
      <c r="A28" s="52" t="s">
        <v>304</v>
      </c>
      <c r="B28" s="52" t="s">
        <v>305</v>
      </c>
      <c r="C28" s="1">
        <v>13.550800000000001</v>
      </c>
      <c r="D28" s="1">
        <v>0.22450000000000001</v>
      </c>
      <c r="E28" s="1">
        <v>-0.95830000000000004</v>
      </c>
      <c r="F28" s="1">
        <f t="shared" si="0"/>
        <v>0.22450000000000001</v>
      </c>
      <c r="G28" s="1">
        <f t="shared" si="1"/>
        <v>0.95830000000000004</v>
      </c>
      <c r="H28" s="1">
        <f t="shared" ref="H28" si="44">+MAX(C28:C29)</f>
        <v>13.550800000000001</v>
      </c>
      <c r="I28" s="1">
        <f t="shared" ref="I28" si="45">+MAX(F28:G29)</f>
        <v>2.3249</v>
      </c>
      <c r="J28" s="1">
        <f t="shared" ref="J28" si="46">+H28*1.45/$J$1</f>
        <v>0.982433</v>
      </c>
      <c r="K28" s="1">
        <f t="shared" ref="K28" si="47">+J28^0.5</f>
        <v>0.99117758247450294</v>
      </c>
      <c r="L28" s="1" t="s">
        <v>310</v>
      </c>
      <c r="M28" s="1"/>
      <c r="N28" s="1"/>
      <c r="O28" s="1"/>
    </row>
    <row r="29" spans="1:34" hidden="1" x14ac:dyDescent="0.3">
      <c r="A29" s="52" t="s">
        <v>304</v>
      </c>
      <c r="B29" s="52" t="s">
        <v>305</v>
      </c>
      <c r="C29" s="1">
        <v>11.3096</v>
      </c>
      <c r="D29" s="1">
        <v>2.3249</v>
      </c>
      <c r="E29" s="1">
        <v>0.9546</v>
      </c>
      <c r="F29" s="1">
        <f t="shared" si="0"/>
        <v>2.3249</v>
      </c>
      <c r="G29" s="1">
        <f t="shared" si="1"/>
        <v>0.9546</v>
      </c>
      <c r="H29" s="1"/>
      <c r="I29" s="1"/>
      <c r="J29" s="1"/>
      <c r="K29" s="1"/>
      <c r="L29" s="1"/>
      <c r="M29" s="1"/>
      <c r="N29" s="1"/>
      <c r="O29" s="1"/>
    </row>
    <row r="30" spans="1:34" x14ac:dyDescent="0.3"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AA30" s="55" t="s">
        <v>325</v>
      </c>
      <c r="AB30" s="55" t="s">
        <v>329</v>
      </c>
      <c r="AC30" s="55" t="s">
        <v>326</v>
      </c>
      <c r="AD30" s="55" t="s">
        <v>329</v>
      </c>
      <c r="AE30" s="55" t="s">
        <v>112</v>
      </c>
      <c r="AF30" s="55" t="s">
        <v>329</v>
      </c>
      <c r="AG30" s="55" t="s">
        <v>72</v>
      </c>
      <c r="AH30" s="55" t="s">
        <v>332</v>
      </c>
    </row>
    <row r="31" spans="1:34" x14ac:dyDescent="0.3">
      <c r="C31" s="1"/>
      <c r="D31" s="1"/>
      <c r="E31" s="1"/>
      <c r="F31" s="1"/>
      <c r="G31" s="1"/>
      <c r="H31" s="1"/>
      <c r="I31" s="1"/>
      <c r="J31" s="39"/>
      <c r="K31" s="39" t="s">
        <v>313</v>
      </c>
      <c r="L31" s="39" t="s">
        <v>314</v>
      </c>
      <c r="M31" s="39" t="s">
        <v>315</v>
      </c>
      <c r="N31" s="55" t="s">
        <v>212</v>
      </c>
      <c r="O31" s="39" t="s">
        <v>318</v>
      </c>
      <c r="P31" s="55" t="s">
        <v>317</v>
      </c>
      <c r="Q31" s="55" t="s">
        <v>319</v>
      </c>
      <c r="R31" s="55" t="s">
        <v>67</v>
      </c>
      <c r="S31" s="55" t="s">
        <v>320</v>
      </c>
      <c r="T31" s="55" t="s">
        <v>321</v>
      </c>
      <c r="U31" s="55" t="s">
        <v>69</v>
      </c>
      <c r="V31" s="55" t="s">
        <v>75</v>
      </c>
      <c r="W31" s="55" t="s">
        <v>323</v>
      </c>
      <c r="X31" s="55" t="s">
        <v>328</v>
      </c>
      <c r="Y31" s="55" t="s">
        <v>324</v>
      </c>
      <c r="Z31" s="40"/>
      <c r="AA31" s="55" t="s">
        <v>36</v>
      </c>
      <c r="AB31" s="55" t="s">
        <v>330</v>
      </c>
      <c r="AC31" s="55" t="s">
        <v>36</v>
      </c>
      <c r="AD31" s="55" t="s">
        <v>330</v>
      </c>
      <c r="AE31" s="55" t="s">
        <v>327</v>
      </c>
      <c r="AF31" s="55" t="s">
        <v>331</v>
      </c>
      <c r="AG31" s="55"/>
      <c r="AH31" s="55"/>
    </row>
    <row r="32" spans="1:34" x14ac:dyDescent="0.3">
      <c r="C32" s="1"/>
      <c r="D32" s="1"/>
      <c r="E32" s="1"/>
      <c r="F32" s="1"/>
      <c r="G32" s="1"/>
      <c r="H32" s="1"/>
      <c r="I32" s="1"/>
      <c r="J32" s="2" t="s">
        <v>309</v>
      </c>
      <c r="K32" s="13">
        <v>1.2</v>
      </c>
      <c r="L32" s="5">
        <f>+(K32-$J$2/100)/2*100</f>
        <v>44.999999999999993</v>
      </c>
      <c r="M32" s="2">
        <f>MAX(ROUNDUP(L32/3+9,0)/100,0.25)</f>
        <v>0.25</v>
      </c>
      <c r="N32" s="54">
        <v>15</v>
      </c>
      <c r="O32" s="13">
        <v>4.5</v>
      </c>
      <c r="P32" s="4">
        <f>+N32/K32^2+6*O32/K32^3</f>
        <v>26.041666666666668</v>
      </c>
      <c r="Q32" s="2">
        <f>+P32*(L32/100)^2 /2</f>
        <v>2.6367187499999996</v>
      </c>
      <c r="R32" s="2">
        <f>0.0018*100*M32*100</f>
        <v>4.5</v>
      </c>
      <c r="S32" s="2">
        <f>30*Q32/(M32*100-$N$1)</f>
        <v>3.9550781249999991</v>
      </c>
      <c r="T32" s="2">
        <f>+MAX(R32:S32)</f>
        <v>4.5</v>
      </c>
      <c r="U32" s="6">
        <v>12</v>
      </c>
      <c r="V32" s="5">
        <f>0.785*U32^2 /T32</f>
        <v>25.12</v>
      </c>
      <c r="W32" s="5">
        <f>4200*0.098/(1.4*($N$2*0.098)^0.5)*U32/10</f>
        <v>77.76888838089431</v>
      </c>
      <c r="X32" s="5">
        <f>15*U32/10</f>
        <v>18</v>
      </c>
      <c r="Y32" s="28" t="str">
        <f>+IF(W32&lt;L32-$N$1,"NO","SI")</f>
        <v>SI</v>
      </c>
      <c r="Z32" s="40"/>
      <c r="AA32" s="2">
        <f>+K32^2*$R$1*1.33</f>
        <v>2.8728000000000002</v>
      </c>
      <c r="AB32" s="13">
        <v>15</v>
      </c>
      <c r="AC32" s="2">
        <f>+K32^2*M32</f>
        <v>0.36</v>
      </c>
      <c r="AD32" s="13">
        <v>160</v>
      </c>
      <c r="AE32" s="2">
        <f>+(INT(K32/(V32/100))+1)*2*K32*0.00785*U32^2*0.785</f>
        <v>10.648368</v>
      </c>
      <c r="AF32" s="13">
        <v>2.4</v>
      </c>
      <c r="AG32" s="53">
        <v>2</v>
      </c>
      <c r="AH32" s="2">
        <f>+(AA32*AB32+AC32*AD32+AE32*AF32)*AG32</f>
        <v>252.49616640000002</v>
      </c>
    </row>
    <row r="33" spans="3:34" x14ac:dyDescent="0.3">
      <c r="C33" s="1"/>
      <c r="D33" s="1"/>
      <c r="E33" s="1"/>
      <c r="F33" s="1"/>
      <c r="G33" s="1"/>
      <c r="H33" s="1"/>
      <c r="I33" s="1"/>
      <c r="J33" s="2" t="s">
        <v>310</v>
      </c>
      <c r="K33" s="13">
        <v>1.5</v>
      </c>
      <c r="L33" s="5">
        <f t="shared" ref="L33:L35" si="48">+(K33-$J$2/100)/2*100</f>
        <v>60</v>
      </c>
      <c r="M33" s="2">
        <f t="shared" ref="M33:M35" si="49">ROUNDUP(L33/3+9,0)/100</f>
        <v>0.28999999999999998</v>
      </c>
      <c r="N33" s="54">
        <v>30</v>
      </c>
      <c r="O33" s="13">
        <v>4.5</v>
      </c>
      <c r="P33" s="4">
        <f t="shared" ref="P33:P35" si="50">+N33/K33^2+6*O33/K33^3</f>
        <v>21.333333333333336</v>
      </c>
      <c r="Q33" s="2">
        <f t="shared" ref="Q33:Q35" si="51">+P33*(L33/100)^2 /2</f>
        <v>3.8400000000000003</v>
      </c>
      <c r="R33" s="2">
        <f t="shared" ref="R33:R35" si="52">0.0018*100*M33*100</f>
        <v>5.22</v>
      </c>
      <c r="S33" s="2">
        <f>30*Q33/(M33*100-$N$1)</f>
        <v>4.8000000000000007</v>
      </c>
      <c r="T33" s="2">
        <f t="shared" ref="T33:T35" si="53">+MAX(R33:S33)</f>
        <v>5.22</v>
      </c>
      <c r="U33" s="5">
        <f>+U32</f>
        <v>12</v>
      </c>
      <c r="V33" s="5">
        <f t="shared" ref="V33:V35" si="54">0.785*U33^2 /T33</f>
        <v>21.655172413793107</v>
      </c>
      <c r="W33" s="5">
        <f t="shared" ref="W33:W35" si="55">4200*0.098/(1.4*($N$2*0.098)^0.5)*U33/10</f>
        <v>77.76888838089431</v>
      </c>
      <c r="X33" s="5">
        <f t="shared" ref="X33:X35" si="56">15*U33/10</f>
        <v>18</v>
      </c>
      <c r="Y33" s="28" t="str">
        <f t="shared" ref="Y33:Y35" si="57">+IF(W33&lt;L33-$N$1,"NO","SI")</f>
        <v>SI</v>
      </c>
      <c r="Z33" s="40"/>
      <c r="AA33" s="2">
        <f t="shared" ref="AA33:AA35" si="58">+K33^2*$R$1*1.33</f>
        <v>4.4887500000000005</v>
      </c>
      <c r="AB33" s="2">
        <f>+AB32</f>
        <v>15</v>
      </c>
      <c r="AC33" s="2">
        <f t="shared" ref="AC33:AC35" si="59">+K33^2*M33</f>
        <v>0.65249999999999997</v>
      </c>
      <c r="AD33" s="2">
        <f>+AD32</f>
        <v>160</v>
      </c>
      <c r="AE33" s="2">
        <f t="shared" ref="AE33:AE35" si="60">+(INT(K33/(V33/100))+1)*2*K33*0.00785*U33^2*0.785</f>
        <v>18.634643999999998</v>
      </c>
      <c r="AF33" s="2">
        <f>+AF32</f>
        <v>2.4</v>
      </c>
      <c r="AG33" s="53">
        <v>5</v>
      </c>
      <c r="AH33" s="2">
        <f t="shared" ref="AH33:AH35" si="61">+(AA33*AB33+AC33*AD33+AE33*AF33)*AG33</f>
        <v>1082.271978</v>
      </c>
    </row>
    <row r="34" spans="3:34" x14ac:dyDescent="0.3">
      <c r="C34" s="1"/>
      <c r="D34" s="1"/>
      <c r="E34" s="1"/>
      <c r="F34" s="1"/>
      <c r="G34" s="1"/>
      <c r="H34" s="1"/>
      <c r="I34" s="1"/>
      <c r="J34" s="2" t="s">
        <v>311</v>
      </c>
      <c r="K34" s="13">
        <v>1.8</v>
      </c>
      <c r="L34" s="5">
        <f t="shared" si="48"/>
        <v>75</v>
      </c>
      <c r="M34" s="2">
        <f t="shared" si="49"/>
        <v>0.34</v>
      </c>
      <c r="N34" s="54">
        <v>45</v>
      </c>
      <c r="O34" s="13">
        <v>6</v>
      </c>
      <c r="P34" s="4">
        <f t="shared" si="50"/>
        <v>20.061728395061728</v>
      </c>
      <c r="Q34" s="2">
        <f t="shared" si="51"/>
        <v>5.6423611111111107</v>
      </c>
      <c r="R34" s="2">
        <f t="shared" si="52"/>
        <v>6.12</v>
      </c>
      <c r="S34" s="2">
        <f>30*Q34/(M34*100-$N$1)</f>
        <v>5.8369252873563209</v>
      </c>
      <c r="T34" s="2">
        <f t="shared" si="53"/>
        <v>6.12</v>
      </c>
      <c r="U34" s="5">
        <f t="shared" ref="U34:U35" si="62">+U33</f>
        <v>12</v>
      </c>
      <c r="V34" s="5">
        <f t="shared" si="54"/>
        <v>18.47058823529412</v>
      </c>
      <c r="W34" s="5">
        <f t="shared" si="55"/>
        <v>77.76888838089431</v>
      </c>
      <c r="X34" s="5">
        <f t="shared" si="56"/>
        <v>18</v>
      </c>
      <c r="Y34" s="28" t="str">
        <f t="shared" si="57"/>
        <v>SI</v>
      </c>
      <c r="Z34" s="40"/>
      <c r="AA34" s="2">
        <f t="shared" si="58"/>
        <v>6.4638000000000009</v>
      </c>
      <c r="AB34" s="2">
        <f t="shared" ref="AB34:AB35" si="63">+AB33</f>
        <v>15</v>
      </c>
      <c r="AC34" s="2">
        <f t="shared" si="59"/>
        <v>1.1016000000000001</v>
      </c>
      <c r="AD34" s="2">
        <f t="shared" ref="AD34:AD35" si="64">+AD33</f>
        <v>160</v>
      </c>
      <c r="AE34" s="2">
        <f t="shared" si="60"/>
        <v>31.945103999999997</v>
      </c>
      <c r="AF34" s="2">
        <f t="shared" ref="AF34:AF35" si="65">+AF33</f>
        <v>2.4</v>
      </c>
      <c r="AG34" s="53">
        <v>1</v>
      </c>
      <c r="AH34" s="2">
        <f t="shared" si="61"/>
        <v>349.88124960000005</v>
      </c>
    </row>
    <row r="35" spans="3:34" x14ac:dyDescent="0.3">
      <c r="C35" s="1"/>
      <c r="D35" s="1"/>
      <c r="E35" s="1"/>
      <c r="F35" s="1"/>
      <c r="G35" s="1"/>
      <c r="H35" s="1"/>
      <c r="I35" s="1"/>
      <c r="J35" s="2" t="s">
        <v>312</v>
      </c>
      <c r="K35" s="13">
        <v>2.1</v>
      </c>
      <c r="L35" s="5">
        <f t="shared" si="48"/>
        <v>90</v>
      </c>
      <c r="M35" s="2">
        <f t="shared" si="49"/>
        <v>0.39</v>
      </c>
      <c r="N35" s="54">
        <f>46*1.5</f>
        <v>69</v>
      </c>
      <c r="O35" s="13">
        <f>14*1.5</f>
        <v>21</v>
      </c>
      <c r="P35" s="4">
        <f t="shared" si="50"/>
        <v>29.251700680272108</v>
      </c>
      <c r="Q35" s="2">
        <f t="shared" si="51"/>
        <v>11.846938775510205</v>
      </c>
      <c r="R35" s="2">
        <f t="shared" si="52"/>
        <v>7.02</v>
      </c>
      <c r="S35" s="2">
        <f>30*Q35/(M35*100-$N$1)</f>
        <v>10.453181272509005</v>
      </c>
      <c r="T35" s="2">
        <f t="shared" si="53"/>
        <v>10.453181272509005</v>
      </c>
      <c r="U35" s="5">
        <f t="shared" si="62"/>
        <v>12</v>
      </c>
      <c r="V35" s="5">
        <f t="shared" si="54"/>
        <v>10.813932816537468</v>
      </c>
      <c r="W35" s="5">
        <f t="shared" si="55"/>
        <v>77.76888838089431</v>
      </c>
      <c r="X35" s="5">
        <f t="shared" si="56"/>
        <v>18</v>
      </c>
      <c r="Y35" s="28" t="str">
        <f t="shared" si="57"/>
        <v>NO</v>
      </c>
      <c r="Z35" s="40"/>
      <c r="AA35" s="2">
        <f t="shared" si="58"/>
        <v>8.7979500000000002</v>
      </c>
      <c r="AB35" s="2">
        <f t="shared" si="63"/>
        <v>15</v>
      </c>
      <c r="AC35" s="2">
        <f t="shared" si="59"/>
        <v>1.7199000000000002</v>
      </c>
      <c r="AD35" s="2">
        <f t="shared" si="64"/>
        <v>160</v>
      </c>
      <c r="AE35" s="2">
        <f t="shared" si="60"/>
        <v>74.538575999999992</v>
      </c>
      <c r="AF35" s="2">
        <f t="shared" si="65"/>
        <v>2.4</v>
      </c>
      <c r="AG35" s="53">
        <v>4</v>
      </c>
      <c r="AH35" s="2">
        <f t="shared" si="61"/>
        <v>2344.1833296</v>
      </c>
    </row>
    <row r="36" spans="3:34" x14ac:dyDescent="0.3"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AA36" s="57"/>
      <c r="AB36" s="57"/>
      <c r="AC36" s="57"/>
      <c r="AD36" s="57"/>
      <c r="AE36" s="57"/>
      <c r="AG36" s="55" t="s">
        <v>333</v>
      </c>
      <c r="AH36" s="58">
        <f>SUBTOTAL(9,AH32:AH35)</f>
        <v>4028.8327236</v>
      </c>
    </row>
    <row r="37" spans="3:34" x14ac:dyDescent="0.3"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AG37" s="31" t="s">
        <v>41</v>
      </c>
      <c r="AH37" s="59">
        <f>10.7*9.6</f>
        <v>102.71999999999998</v>
      </c>
    </row>
    <row r="38" spans="3:34" x14ac:dyDescent="0.3">
      <c r="C38" s="1"/>
      <c r="D38" s="1"/>
      <c r="E38" s="1"/>
      <c r="F38" s="1"/>
      <c r="G38" s="1"/>
      <c r="H38" s="2" t="s">
        <v>307</v>
      </c>
      <c r="I38" s="13">
        <v>46</v>
      </c>
      <c r="J38" s="2" t="s">
        <v>40</v>
      </c>
      <c r="K38" s="1"/>
      <c r="L38" s="1"/>
      <c r="M38" s="1"/>
      <c r="N38" s="1"/>
      <c r="O38" s="1"/>
      <c r="AG38" s="31" t="s">
        <v>334</v>
      </c>
      <c r="AH38" s="18">
        <f>+AH36/AH37</f>
        <v>39.221502371495333</v>
      </c>
    </row>
    <row r="39" spans="3:34" x14ac:dyDescent="0.3">
      <c r="C39" s="1"/>
      <c r="D39" s="1"/>
      <c r="E39" s="1"/>
      <c r="F39" s="1"/>
      <c r="G39" s="1"/>
      <c r="H39" s="2" t="s">
        <v>308</v>
      </c>
      <c r="I39" s="13">
        <v>12</v>
      </c>
      <c r="J39" s="2" t="s">
        <v>55</v>
      </c>
      <c r="K39" s="1"/>
      <c r="L39" s="1"/>
      <c r="M39" s="1"/>
      <c r="N39" s="1"/>
      <c r="O39" s="1"/>
    </row>
    <row r="40" spans="3:34" x14ac:dyDescent="0.3">
      <c r="C40" s="1"/>
      <c r="D40" s="1"/>
      <c r="E40" s="1"/>
      <c r="F40" s="1"/>
      <c r="G40" s="1"/>
      <c r="H40" s="2" t="s">
        <v>316</v>
      </c>
      <c r="I40" s="2">
        <f>+I38*1.45/J1</f>
        <v>3.335</v>
      </c>
      <c r="J40" s="2" t="s">
        <v>42</v>
      </c>
      <c r="K40" s="1"/>
      <c r="L40" s="1"/>
      <c r="M40" s="1"/>
      <c r="N40" s="1"/>
      <c r="O40" s="1"/>
    </row>
    <row r="41" spans="3:34" x14ac:dyDescent="0.3">
      <c r="C41" s="1"/>
      <c r="D41" s="1"/>
      <c r="E41" s="1"/>
      <c r="F41" s="1"/>
      <c r="G41" s="1"/>
      <c r="H41" s="2" t="s">
        <v>313</v>
      </c>
      <c r="I41" s="13">
        <v>2.1</v>
      </c>
      <c r="J41" s="2" t="s">
        <v>42</v>
      </c>
      <c r="K41" s="1"/>
      <c r="L41" s="1"/>
      <c r="M41" s="1"/>
      <c r="N41" s="1"/>
      <c r="O41" s="1"/>
    </row>
    <row r="42" spans="3:34" x14ac:dyDescent="0.3">
      <c r="C42" s="1"/>
      <c r="D42" s="1"/>
      <c r="E42" s="1"/>
      <c r="F42" s="1"/>
      <c r="G42" s="1"/>
      <c r="H42" s="2" t="s">
        <v>317</v>
      </c>
      <c r="I42" s="2">
        <f>+I38/I41^2+6*I39/I41^3</f>
        <v>18.205377389050859</v>
      </c>
      <c r="J42" s="21" t="str">
        <f>+IF(I42&gt;J1,"NO","OK")</f>
        <v>OK</v>
      </c>
      <c r="K42" s="1"/>
      <c r="L42" s="1"/>
      <c r="M42" s="1"/>
      <c r="N42" s="1"/>
      <c r="O42" s="1"/>
    </row>
    <row r="43" spans="3:34" x14ac:dyDescent="0.3">
      <c r="C43" s="1"/>
      <c r="D43" s="1"/>
      <c r="E43" s="1"/>
      <c r="F43" s="1"/>
      <c r="G43" s="1"/>
      <c r="H43" s="2"/>
      <c r="I43" s="2"/>
      <c r="J43" s="2"/>
      <c r="K43" s="1"/>
      <c r="L43" s="1"/>
      <c r="M43" s="1"/>
      <c r="N43" s="1"/>
      <c r="O43" s="1"/>
    </row>
    <row r="44" spans="3:34" x14ac:dyDescent="0.3">
      <c r="C44" s="1"/>
      <c r="D44" s="1"/>
      <c r="E44" s="1"/>
      <c r="F44" s="1"/>
      <c r="G44" s="1"/>
      <c r="H44" s="2"/>
      <c r="I44" s="2"/>
      <c r="J44" s="2"/>
      <c r="K44" s="1"/>
      <c r="L44" s="1"/>
      <c r="M44" s="1"/>
      <c r="N44" s="1"/>
      <c r="O44" s="1"/>
    </row>
    <row r="45" spans="3:34" x14ac:dyDescent="0.3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3:34" x14ac:dyDescent="0.3"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</sheetData>
  <autoFilter ref="A5:L29" xr:uid="{1BB18E51-FEDE-418E-9F3C-D875BA7CBD37}">
    <filterColumn colId="11">
      <filters>
        <filter val="P4"/>
      </filters>
    </filterColumn>
  </autoFilter>
  <dataValidations count="1">
    <dataValidation type="list" allowBlank="1" showInputMessage="1" showErrorMessage="1" sqref="U32" xr:uid="{2EE7ED4C-2DA3-4BF7-89C1-439B69602777}">
      <formula1>"10,12,14,16,18,20,22,25,28,32,35"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884B7-6A97-4B07-8891-CEEB4D72009D}">
  <dimension ref="A3:O29"/>
  <sheetViews>
    <sheetView topLeftCell="A21" zoomScale="140" zoomScaleNormal="140" workbookViewId="0">
      <selection activeCell="C25" sqref="C25"/>
    </sheetView>
  </sheetViews>
  <sheetFormatPr baseColWidth="10" defaultRowHeight="13.2" x14ac:dyDescent="0.25"/>
  <cols>
    <col min="1" max="1" width="30.33203125" style="60" customWidth="1"/>
    <col min="2" max="2" width="5.6640625" style="60" customWidth="1"/>
    <col min="3" max="5" width="11.5546875" style="60"/>
    <col min="6" max="6" width="1.88671875" style="61" customWidth="1"/>
    <col min="7" max="8" width="11.5546875" style="60"/>
    <col min="9" max="9" width="8.33203125" style="60" customWidth="1"/>
    <col min="10" max="10" width="11.5546875" style="61"/>
    <col min="11" max="11" width="24.6640625" style="61" customWidth="1"/>
    <col min="12" max="12" width="9.44140625" style="61" customWidth="1"/>
    <col min="13" max="13" width="11.5546875" style="61"/>
    <col min="14" max="14" width="9.88671875" style="61" customWidth="1"/>
    <col min="15" max="256" width="11.5546875" style="61"/>
    <col min="257" max="257" width="30.33203125" style="61" customWidth="1"/>
    <col min="258" max="258" width="5.6640625" style="61" customWidth="1"/>
    <col min="259" max="261" width="11.5546875" style="61"/>
    <col min="262" max="262" width="1.88671875" style="61" customWidth="1"/>
    <col min="263" max="264" width="11.5546875" style="61"/>
    <col min="265" max="265" width="8.33203125" style="61" customWidth="1"/>
    <col min="266" max="266" width="11.5546875" style="61"/>
    <col min="267" max="267" width="24.6640625" style="61" customWidth="1"/>
    <col min="268" max="268" width="9.44140625" style="61" customWidth="1"/>
    <col min="269" max="269" width="11.5546875" style="61"/>
    <col min="270" max="270" width="9.88671875" style="61" customWidth="1"/>
    <col min="271" max="512" width="11.5546875" style="61"/>
    <col min="513" max="513" width="30.33203125" style="61" customWidth="1"/>
    <col min="514" max="514" width="5.6640625" style="61" customWidth="1"/>
    <col min="515" max="517" width="11.5546875" style="61"/>
    <col min="518" max="518" width="1.88671875" style="61" customWidth="1"/>
    <col min="519" max="520" width="11.5546875" style="61"/>
    <col min="521" max="521" width="8.33203125" style="61" customWidth="1"/>
    <col min="522" max="522" width="11.5546875" style="61"/>
    <col min="523" max="523" width="24.6640625" style="61" customWidth="1"/>
    <col min="524" max="524" width="9.44140625" style="61" customWidth="1"/>
    <col min="525" max="525" width="11.5546875" style="61"/>
    <col min="526" max="526" width="9.88671875" style="61" customWidth="1"/>
    <col min="527" max="768" width="11.5546875" style="61"/>
    <col min="769" max="769" width="30.33203125" style="61" customWidth="1"/>
    <col min="770" max="770" width="5.6640625" style="61" customWidth="1"/>
    <col min="771" max="773" width="11.5546875" style="61"/>
    <col min="774" max="774" width="1.88671875" style="61" customWidth="1"/>
    <col min="775" max="776" width="11.5546875" style="61"/>
    <col min="777" max="777" width="8.33203125" style="61" customWidth="1"/>
    <col min="778" max="778" width="11.5546875" style="61"/>
    <col min="779" max="779" width="24.6640625" style="61" customWidth="1"/>
    <col min="780" max="780" width="9.44140625" style="61" customWidth="1"/>
    <col min="781" max="781" width="11.5546875" style="61"/>
    <col min="782" max="782" width="9.88671875" style="61" customWidth="1"/>
    <col min="783" max="1024" width="11.5546875" style="61"/>
    <col min="1025" max="1025" width="30.33203125" style="61" customWidth="1"/>
    <col min="1026" max="1026" width="5.6640625" style="61" customWidth="1"/>
    <col min="1027" max="1029" width="11.5546875" style="61"/>
    <col min="1030" max="1030" width="1.88671875" style="61" customWidth="1"/>
    <col min="1031" max="1032" width="11.5546875" style="61"/>
    <col min="1033" max="1033" width="8.33203125" style="61" customWidth="1"/>
    <col min="1034" max="1034" width="11.5546875" style="61"/>
    <col min="1035" max="1035" width="24.6640625" style="61" customWidth="1"/>
    <col min="1036" max="1036" width="9.44140625" style="61" customWidth="1"/>
    <col min="1037" max="1037" width="11.5546875" style="61"/>
    <col min="1038" max="1038" width="9.88671875" style="61" customWidth="1"/>
    <col min="1039" max="1280" width="11.5546875" style="61"/>
    <col min="1281" max="1281" width="30.33203125" style="61" customWidth="1"/>
    <col min="1282" max="1282" width="5.6640625" style="61" customWidth="1"/>
    <col min="1283" max="1285" width="11.5546875" style="61"/>
    <col min="1286" max="1286" width="1.88671875" style="61" customWidth="1"/>
    <col min="1287" max="1288" width="11.5546875" style="61"/>
    <col min="1289" max="1289" width="8.33203125" style="61" customWidth="1"/>
    <col min="1290" max="1290" width="11.5546875" style="61"/>
    <col min="1291" max="1291" width="24.6640625" style="61" customWidth="1"/>
    <col min="1292" max="1292" width="9.44140625" style="61" customWidth="1"/>
    <col min="1293" max="1293" width="11.5546875" style="61"/>
    <col min="1294" max="1294" width="9.88671875" style="61" customWidth="1"/>
    <col min="1295" max="1536" width="11.5546875" style="61"/>
    <col min="1537" max="1537" width="30.33203125" style="61" customWidth="1"/>
    <col min="1538" max="1538" width="5.6640625" style="61" customWidth="1"/>
    <col min="1539" max="1541" width="11.5546875" style="61"/>
    <col min="1542" max="1542" width="1.88671875" style="61" customWidth="1"/>
    <col min="1543" max="1544" width="11.5546875" style="61"/>
    <col min="1545" max="1545" width="8.33203125" style="61" customWidth="1"/>
    <col min="1546" max="1546" width="11.5546875" style="61"/>
    <col min="1547" max="1547" width="24.6640625" style="61" customWidth="1"/>
    <col min="1548" max="1548" width="9.44140625" style="61" customWidth="1"/>
    <col min="1549" max="1549" width="11.5546875" style="61"/>
    <col min="1550" max="1550" width="9.88671875" style="61" customWidth="1"/>
    <col min="1551" max="1792" width="11.5546875" style="61"/>
    <col min="1793" max="1793" width="30.33203125" style="61" customWidth="1"/>
    <col min="1794" max="1794" width="5.6640625" style="61" customWidth="1"/>
    <col min="1795" max="1797" width="11.5546875" style="61"/>
    <col min="1798" max="1798" width="1.88671875" style="61" customWidth="1"/>
    <col min="1799" max="1800" width="11.5546875" style="61"/>
    <col min="1801" max="1801" width="8.33203125" style="61" customWidth="1"/>
    <col min="1802" max="1802" width="11.5546875" style="61"/>
    <col min="1803" max="1803" width="24.6640625" style="61" customWidth="1"/>
    <col min="1804" max="1804" width="9.44140625" style="61" customWidth="1"/>
    <col min="1805" max="1805" width="11.5546875" style="61"/>
    <col min="1806" max="1806" width="9.88671875" style="61" customWidth="1"/>
    <col min="1807" max="2048" width="11.5546875" style="61"/>
    <col min="2049" max="2049" width="30.33203125" style="61" customWidth="1"/>
    <col min="2050" max="2050" width="5.6640625" style="61" customWidth="1"/>
    <col min="2051" max="2053" width="11.5546875" style="61"/>
    <col min="2054" max="2054" width="1.88671875" style="61" customWidth="1"/>
    <col min="2055" max="2056" width="11.5546875" style="61"/>
    <col min="2057" max="2057" width="8.33203125" style="61" customWidth="1"/>
    <col min="2058" max="2058" width="11.5546875" style="61"/>
    <col min="2059" max="2059" width="24.6640625" style="61" customWidth="1"/>
    <col min="2060" max="2060" width="9.44140625" style="61" customWidth="1"/>
    <col min="2061" max="2061" width="11.5546875" style="61"/>
    <col min="2062" max="2062" width="9.88671875" style="61" customWidth="1"/>
    <col min="2063" max="2304" width="11.5546875" style="61"/>
    <col min="2305" max="2305" width="30.33203125" style="61" customWidth="1"/>
    <col min="2306" max="2306" width="5.6640625" style="61" customWidth="1"/>
    <col min="2307" max="2309" width="11.5546875" style="61"/>
    <col min="2310" max="2310" width="1.88671875" style="61" customWidth="1"/>
    <col min="2311" max="2312" width="11.5546875" style="61"/>
    <col min="2313" max="2313" width="8.33203125" style="61" customWidth="1"/>
    <col min="2314" max="2314" width="11.5546875" style="61"/>
    <col min="2315" max="2315" width="24.6640625" style="61" customWidth="1"/>
    <col min="2316" max="2316" width="9.44140625" style="61" customWidth="1"/>
    <col min="2317" max="2317" width="11.5546875" style="61"/>
    <col min="2318" max="2318" width="9.88671875" style="61" customWidth="1"/>
    <col min="2319" max="2560" width="11.5546875" style="61"/>
    <col min="2561" max="2561" width="30.33203125" style="61" customWidth="1"/>
    <col min="2562" max="2562" width="5.6640625" style="61" customWidth="1"/>
    <col min="2563" max="2565" width="11.5546875" style="61"/>
    <col min="2566" max="2566" width="1.88671875" style="61" customWidth="1"/>
    <col min="2567" max="2568" width="11.5546875" style="61"/>
    <col min="2569" max="2569" width="8.33203125" style="61" customWidth="1"/>
    <col min="2570" max="2570" width="11.5546875" style="61"/>
    <col min="2571" max="2571" width="24.6640625" style="61" customWidth="1"/>
    <col min="2572" max="2572" width="9.44140625" style="61" customWidth="1"/>
    <col min="2573" max="2573" width="11.5546875" style="61"/>
    <col min="2574" max="2574" width="9.88671875" style="61" customWidth="1"/>
    <col min="2575" max="2816" width="11.5546875" style="61"/>
    <col min="2817" max="2817" width="30.33203125" style="61" customWidth="1"/>
    <col min="2818" max="2818" width="5.6640625" style="61" customWidth="1"/>
    <col min="2819" max="2821" width="11.5546875" style="61"/>
    <col min="2822" max="2822" width="1.88671875" style="61" customWidth="1"/>
    <col min="2823" max="2824" width="11.5546875" style="61"/>
    <col min="2825" max="2825" width="8.33203125" style="61" customWidth="1"/>
    <col min="2826" max="2826" width="11.5546875" style="61"/>
    <col min="2827" max="2827" width="24.6640625" style="61" customWidth="1"/>
    <col min="2828" max="2828" width="9.44140625" style="61" customWidth="1"/>
    <col min="2829" max="2829" width="11.5546875" style="61"/>
    <col min="2830" max="2830" width="9.88671875" style="61" customWidth="1"/>
    <col min="2831" max="3072" width="11.5546875" style="61"/>
    <col min="3073" max="3073" width="30.33203125" style="61" customWidth="1"/>
    <col min="3074" max="3074" width="5.6640625" style="61" customWidth="1"/>
    <col min="3075" max="3077" width="11.5546875" style="61"/>
    <col min="3078" max="3078" width="1.88671875" style="61" customWidth="1"/>
    <col min="3079" max="3080" width="11.5546875" style="61"/>
    <col min="3081" max="3081" width="8.33203125" style="61" customWidth="1"/>
    <col min="3082" max="3082" width="11.5546875" style="61"/>
    <col min="3083" max="3083" width="24.6640625" style="61" customWidth="1"/>
    <col min="3084" max="3084" width="9.44140625" style="61" customWidth="1"/>
    <col min="3085" max="3085" width="11.5546875" style="61"/>
    <col min="3086" max="3086" width="9.88671875" style="61" customWidth="1"/>
    <col min="3087" max="3328" width="11.5546875" style="61"/>
    <col min="3329" max="3329" width="30.33203125" style="61" customWidth="1"/>
    <col min="3330" max="3330" width="5.6640625" style="61" customWidth="1"/>
    <col min="3331" max="3333" width="11.5546875" style="61"/>
    <col min="3334" max="3334" width="1.88671875" style="61" customWidth="1"/>
    <col min="3335" max="3336" width="11.5546875" style="61"/>
    <col min="3337" max="3337" width="8.33203125" style="61" customWidth="1"/>
    <col min="3338" max="3338" width="11.5546875" style="61"/>
    <col min="3339" max="3339" width="24.6640625" style="61" customWidth="1"/>
    <col min="3340" max="3340" width="9.44140625" style="61" customWidth="1"/>
    <col min="3341" max="3341" width="11.5546875" style="61"/>
    <col min="3342" max="3342" width="9.88671875" style="61" customWidth="1"/>
    <col min="3343" max="3584" width="11.5546875" style="61"/>
    <col min="3585" max="3585" width="30.33203125" style="61" customWidth="1"/>
    <col min="3586" max="3586" width="5.6640625" style="61" customWidth="1"/>
    <col min="3587" max="3589" width="11.5546875" style="61"/>
    <col min="3590" max="3590" width="1.88671875" style="61" customWidth="1"/>
    <col min="3591" max="3592" width="11.5546875" style="61"/>
    <col min="3593" max="3593" width="8.33203125" style="61" customWidth="1"/>
    <col min="3594" max="3594" width="11.5546875" style="61"/>
    <col min="3595" max="3595" width="24.6640625" style="61" customWidth="1"/>
    <col min="3596" max="3596" width="9.44140625" style="61" customWidth="1"/>
    <col min="3597" max="3597" width="11.5546875" style="61"/>
    <col min="3598" max="3598" width="9.88671875" style="61" customWidth="1"/>
    <col min="3599" max="3840" width="11.5546875" style="61"/>
    <col min="3841" max="3841" width="30.33203125" style="61" customWidth="1"/>
    <col min="3842" max="3842" width="5.6640625" style="61" customWidth="1"/>
    <col min="3843" max="3845" width="11.5546875" style="61"/>
    <col min="3846" max="3846" width="1.88671875" style="61" customWidth="1"/>
    <col min="3847" max="3848" width="11.5546875" style="61"/>
    <col min="3849" max="3849" width="8.33203125" style="61" customWidth="1"/>
    <col min="3850" max="3850" width="11.5546875" style="61"/>
    <col min="3851" max="3851" width="24.6640625" style="61" customWidth="1"/>
    <col min="3852" max="3852" width="9.44140625" style="61" customWidth="1"/>
    <col min="3853" max="3853" width="11.5546875" style="61"/>
    <col min="3854" max="3854" width="9.88671875" style="61" customWidth="1"/>
    <col min="3855" max="4096" width="11.5546875" style="61"/>
    <col min="4097" max="4097" width="30.33203125" style="61" customWidth="1"/>
    <col min="4098" max="4098" width="5.6640625" style="61" customWidth="1"/>
    <col min="4099" max="4101" width="11.5546875" style="61"/>
    <col min="4102" max="4102" width="1.88671875" style="61" customWidth="1"/>
    <col min="4103" max="4104" width="11.5546875" style="61"/>
    <col min="4105" max="4105" width="8.33203125" style="61" customWidth="1"/>
    <col min="4106" max="4106" width="11.5546875" style="61"/>
    <col min="4107" max="4107" width="24.6640625" style="61" customWidth="1"/>
    <col min="4108" max="4108" width="9.44140625" style="61" customWidth="1"/>
    <col min="4109" max="4109" width="11.5546875" style="61"/>
    <col min="4110" max="4110" width="9.88671875" style="61" customWidth="1"/>
    <col min="4111" max="4352" width="11.5546875" style="61"/>
    <col min="4353" max="4353" width="30.33203125" style="61" customWidth="1"/>
    <col min="4354" max="4354" width="5.6640625" style="61" customWidth="1"/>
    <col min="4355" max="4357" width="11.5546875" style="61"/>
    <col min="4358" max="4358" width="1.88671875" style="61" customWidth="1"/>
    <col min="4359" max="4360" width="11.5546875" style="61"/>
    <col min="4361" max="4361" width="8.33203125" style="61" customWidth="1"/>
    <col min="4362" max="4362" width="11.5546875" style="61"/>
    <col min="4363" max="4363" width="24.6640625" style="61" customWidth="1"/>
    <col min="4364" max="4364" width="9.44140625" style="61" customWidth="1"/>
    <col min="4365" max="4365" width="11.5546875" style="61"/>
    <col min="4366" max="4366" width="9.88671875" style="61" customWidth="1"/>
    <col min="4367" max="4608" width="11.5546875" style="61"/>
    <col min="4609" max="4609" width="30.33203125" style="61" customWidth="1"/>
    <col min="4610" max="4610" width="5.6640625" style="61" customWidth="1"/>
    <col min="4611" max="4613" width="11.5546875" style="61"/>
    <col min="4614" max="4614" width="1.88671875" style="61" customWidth="1"/>
    <col min="4615" max="4616" width="11.5546875" style="61"/>
    <col min="4617" max="4617" width="8.33203125" style="61" customWidth="1"/>
    <col min="4618" max="4618" width="11.5546875" style="61"/>
    <col min="4619" max="4619" width="24.6640625" style="61" customWidth="1"/>
    <col min="4620" max="4620" width="9.44140625" style="61" customWidth="1"/>
    <col min="4621" max="4621" width="11.5546875" style="61"/>
    <col min="4622" max="4622" width="9.88671875" style="61" customWidth="1"/>
    <col min="4623" max="4864" width="11.5546875" style="61"/>
    <col min="4865" max="4865" width="30.33203125" style="61" customWidth="1"/>
    <col min="4866" max="4866" width="5.6640625" style="61" customWidth="1"/>
    <col min="4867" max="4869" width="11.5546875" style="61"/>
    <col min="4870" max="4870" width="1.88671875" style="61" customWidth="1"/>
    <col min="4871" max="4872" width="11.5546875" style="61"/>
    <col min="4873" max="4873" width="8.33203125" style="61" customWidth="1"/>
    <col min="4874" max="4874" width="11.5546875" style="61"/>
    <col min="4875" max="4875" width="24.6640625" style="61" customWidth="1"/>
    <col min="4876" max="4876" width="9.44140625" style="61" customWidth="1"/>
    <col min="4877" max="4877" width="11.5546875" style="61"/>
    <col min="4878" max="4878" width="9.88671875" style="61" customWidth="1"/>
    <col min="4879" max="5120" width="11.5546875" style="61"/>
    <col min="5121" max="5121" width="30.33203125" style="61" customWidth="1"/>
    <col min="5122" max="5122" width="5.6640625" style="61" customWidth="1"/>
    <col min="5123" max="5125" width="11.5546875" style="61"/>
    <col min="5126" max="5126" width="1.88671875" style="61" customWidth="1"/>
    <col min="5127" max="5128" width="11.5546875" style="61"/>
    <col min="5129" max="5129" width="8.33203125" style="61" customWidth="1"/>
    <col min="5130" max="5130" width="11.5546875" style="61"/>
    <col min="5131" max="5131" width="24.6640625" style="61" customWidth="1"/>
    <col min="5132" max="5132" width="9.44140625" style="61" customWidth="1"/>
    <col min="5133" max="5133" width="11.5546875" style="61"/>
    <col min="5134" max="5134" width="9.88671875" style="61" customWidth="1"/>
    <col min="5135" max="5376" width="11.5546875" style="61"/>
    <col min="5377" max="5377" width="30.33203125" style="61" customWidth="1"/>
    <col min="5378" max="5378" width="5.6640625" style="61" customWidth="1"/>
    <col min="5379" max="5381" width="11.5546875" style="61"/>
    <col min="5382" max="5382" width="1.88671875" style="61" customWidth="1"/>
    <col min="5383" max="5384" width="11.5546875" style="61"/>
    <col min="5385" max="5385" width="8.33203125" style="61" customWidth="1"/>
    <col min="5386" max="5386" width="11.5546875" style="61"/>
    <col min="5387" max="5387" width="24.6640625" style="61" customWidth="1"/>
    <col min="5388" max="5388" width="9.44140625" style="61" customWidth="1"/>
    <col min="5389" max="5389" width="11.5546875" style="61"/>
    <col min="5390" max="5390" width="9.88671875" style="61" customWidth="1"/>
    <col min="5391" max="5632" width="11.5546875" style="61"/>
    <col min="5633" max="5633" width="30.33203125" style="61" customWidth="1"/>
    <col min="5634" max="5634" width="5.6640625" style="61" customWidth="1"/>
    <col min="5635" max="5637" width="11.5546875" style="61"/>
    <col min="5638" max="5638" width="1.88671875" style="61" customWidth="1"/>
    <col min="5639" max="5640" width="11.5546875" style="61"/>
    <col min="5641" max="5641" width="8.33203125" style="61" customWidth="1"/>
    <col min="5642" max="5642" width="11.5546875" style="61"/>
    <col min="5643" max="5643" width="24.6640625" style="61" customWidth="1"/>
    <col min="5644" max="5644" width="9.44140625" style="61" customWidth="1"/>
    <col min="5645" max="5645" width="11.5546875" style="61"/>
    <col min="5646" max="5646" width="9.88671875" style="61" customWidth="1"/>
    <col min="5647" max="5888" width="11.5546875" style="61"/>
    <col min="5889" max="5889" width="30.33203125" style="61" customWidth="1"/>
    <col min="5890" max="5890" width="5.6640625" style="61" customWidth="1"/>
    <col min="5891" max="5893" width="11.5546875" style="61"/>
    <col min="5894" max="5894" width="1.88671875" style="61" customWidth="1"/>
    <col min="5895" max="5896" width="11.5546875" style="61"/>
    <col min="5897" max="5897" width="8.33203125" style="61" customWidth="1"/>
    <col min="5898" max="5898" width="11.5546875" style="61"/>
    <col min="5899" max="5899" width="24.6640625" style="61" customWidth="1"/>
    <col min="5900" max="5900" width="9.44140625" style="61" customWidth="1"/>
    <col min="5901" max="5901" width="11.5546875" style="61"/>
    <col min="5902" max="5902" width="9.88671875" style="61" customWidth="1"/>
    <col min="5903" max="6144" width="11.5546875" style="61"/>
    <col min="6145" max="6145" width="30.33203125" style="61" customWidth="1"/>
    <col min="6146" max="6146" width="5.6640625" style="61" customWidth="1"/>
    <col min="6147" max="6149" width="11.5546875" style="61"/>
    <col min="6150" max="6150" width="1.88671875" style="61" customWidth="1"/>
    <col min="6151" max="6152" width="11.5546875" style="61"/>
    <col min="6153" max="6153" width="8.33203125" style="61" customWidth="1"/>
    <col min="6154" max="6154" width="11.5546875" style="61"/>
    <col min="6155" max="6155" width="24.6640625" style="61" customWidth="1"/>
    <col min="6156" max="6156" width="9.44140625" style="61" customWidth="1"/>
    <col min="6157" max="6157" width="11.5546875" style="61"/>
    <col min="6158" max="6158" width="9.88671875" style="61" customWidth="1"/>
    <col min="6159" max="6400" width="11.5546875" style="61"/>
    <col min="6401" max="6401" width="30.33203125" style="61" customWidth="1"/>
    <col min="6402" max="6402" width="5.6640625" style="61" customWidth="1"/>
    <col min="6403" max="6405" width="11.5546875" style="61"/>
    <col min="6406" max="6406" width="1.88671875" style="61" customWidth="1"/>
    <col min="6407" max="6408" width="11.5546875" style="61"/>
    <col min="6409" max="6409" width="8.33203125" style="61" customWidth="1"/>
    <col min="6410" max="6410" width="11.5546875" style="61"/>
    <col min="6411" max="6411" width="24.6640625" style="61" customWidth="1"/>
    <col min="6412" max="6412" width="9.44140625" style="61" customWidth="1"/>
    <col min="6413" max="6413" width="11.5546875" style="61"/>
    <col min="6414" max="6414" width="9.88671875" style="61" customWidth="1"/>
    <col min="6415" max="6656" width="11.5546875" style="61"/>
    <col min="6657" max="6657" width="30.33203125" style="61" customWidth="1"/>
    <col min="6658" max="6658" width="5.6640625" style="61" customWidth="1"/>
    <col min="6659" max="6661" width="11.5546875" style="61"/>
    <col min="6662" max="6662" width="1.88671875" style="61" customWidth="1"/>
    <col min="6663" max="6664" width="11.5546875" style="61"/>
    <col min="6665" max="6665" width="8.33203125" style="61" customWidth="1"/>
    <col min="6666" max="6666" width="11.5546875" style="61"/>
    <col min="6667" max="6667" width="24.6640625" style="61" customWidth="1"/>
    <col min="6668" max="6668" width="9.44140625" style="61" customWidth="1"/>
    <col min="6669" max="6669" width="11.5546875" style="61"/>
    <col min="6670" max="6670" width="9.88671875" style="61" customWidth="1"/>
    <col min="6671" max="6912" width="11.5546875" style="61"/>
    <col min="6913" max="6913" width="30.33203125" style="61" customWidth="1"/>
    <col min="6914" max="6914" width="5.6640625" style="61" customWidth="1"/>
    <col min="6915" max="6917" width="11.5546875" style="61"/>
    <col min="6918" max="6918" width="1.88671875" style="61" customWidth="1"/>
    <col min="6919" max="6920" width="11.5546875" style="61"/>
    <col min="6921" max="6921" width="8.33203125" style="61" customWidth="1"/>
    <col min="6922" max="6922" width="11.5546875" style="61"/>
    <col min="6923" max="6923" width="24.6640625" style="61" customWidth="1"/>
    <col min="6924" max="6924" width="9.44140625" style="61" customWidth="1"/>
    <col min="6925" max="6925" width="11.5546875" style="61"/>
    <col min="6926" max="6926" width="9.88671875" style="61" customWidth="1"/>
    <col min="6927" max="7168" width="11.5546875" style="61"/>
    <col min="7169" max="7169" width="30.33203125" style="61" customWidth="1"/>
    <col min="7170" max="7170" width="5.6640625" style="61" customWidth="1"/>
    <col min="7171" max="7173" width="11.5546875" style="61"/>
    <col min="7174" max="7174" width="1.88671875" style="61" customWidth="1"/>
    <col min="7175" max="7176" width="11.5546875" style="61"/>
    <col min="7177" max="7177" width="8.33203125" style="61" customWidth="1"/>
    <col min="7178" max="7178" width="11.5546875" style="61"/>
    <col min="7179" max="7179" width="24.6640625" style="61" customWidth="1"/>
    <col min="7180" max="7180" width="9.44140625" style="61" customWidth="1"/>
    <col min="7181" max="7181" width="11.5546875" style="61"/>
    <col min="7182" max="7182" width="9.88671875" style="61" customWidth="1"/>
    <col min="7183" max="7424" width="11.5546875" style="61"/>
    <col min="7425" max="7425" width="30.33203125" style="61" customWidth="1"/>
    <col min="7426" max="7426" width="5.6640625" style="61" customWidth="1"/>
    <col min="7427" max="7429" width="11.5546875" style="61"/>
    <col min="7430" max="7430" width="1.88671875" style="61" customWidth="1"/>
    <col min="7431" max="7432" width="11.5546875" style="61"/>
    <col min="7433" max="7433" width="8.33203125" style="61" customWidth="1"/>
    <col min="7434" max="7434" width="11.5546875" style="61"/>
    <col min="7435" max="7435" width="24.6640625" style="61" customWidth="1"/>
    <col min="7436" max="7436" width="9.44140625" style="61" customWidth="1"/>
    <col min="7437" max="7437" width="11.5546875" style="61"/>
    <col min="7438" max="7438" width="9.88671875" style="61" customWidth="1"/>
    <col min="7439" max="7680" width="11.5546875" style="61"/>
    <col min="7681" max="7681" width="30.33203125" style="61" customWidth="1"/>
    <col min="7682" max="7682" width="5.6640625" style="61" customWidth="1"/>
    <col min="7683" max="7685" width="11.5546875" style="61"/>
    <col min="7686" max="7686" width="1.88671875" style="61" customWidth="1"/>
    <col min="7687" max="7688" width="11.5546875" style="61"/>
    <col min="7689" max="7689" width="8.33203125" style="61" customWidth="1"/>
    <col min="7690" max="7690" width="11.5546875" style="61"/>
    <col min="7691" max="7691" width="24.6640625" style="61" customWidth="1"/>
    <col min="7692" max="7692" width="9.44140625" style="61" customWidth="1"/>
    <col min="7693" max="7693" width="11.5546875" style="61"/>
    <col min="7694" max="7694" width="9.88671875" style="61" customWidth="1"/>
    <col min="7695" max="7936" width="11.5546875" style="61"/>
    <col min="7937" max="7937" width="30.33203125" style="61" customWidth="1"/>
    <col min="7938" max="7938" width="5.6640625" style="61" customWidth="1"/>
    <col min="7939" max="7941" width="11.5546875" style="61"/>
    <col min="7942" max="7942" width="1.88671875" style="61" customWidth="1"/>
    <col min="7943" max="7944" width="11.5546875" style="61"/>
    <col min="7945" max="7945" width="8.33203125" style="61" customWidth="1"/>
    <col min="7946" max="7946" width="11.5546875" style="61"/>
    <col min="7947" max="7947" width="24.6640625" style="61" customWidth="1"/>
    <col min="7948" max="7948" width="9.44140625" style="61" customWidth="1"/>
    <col min="7949" max="7949" width="11.5546875" style="61"/>
    <col min="7950" max="7950" width="9.88671875" style="61" customWidth="1"/>
    <col min="7951" max="8192" width="11.5546875" style="61"/>
    <col min="8193" max="8193" width="30.33203125" style="61" customWidth="1"/>
    <col min="8194" max="8194" width="5.6640625" style="61" customWidth="1"/>
    <col min="8195" max="8197" width="11.5546875" style="61"/>
    <col min="8198" max="8198" width="1.88671875" style="61" customWidth="1"/>
    <col min="8199" max="8200" width="11.5546875" style="61"/>
    <col min="8201" max="8201" width="8.33203125" style="61" customWidth="1"/>
    <col min="8202" max="8202" width="11.5546875" style="61"/>
    <col min="8203" max="8203" width="24.6640625" style="61" customWidth="1"/>
    <col min="8204" max="8204" width="9.44140625" style="61" customWidth="1"/>
    <col min="8205" max="8205" width="11.5546875" style="61"/>
    <col min="8206" max="8206" width="9.88671875" style="61" customWidth="1"/>
    <col min="8207" max="8448" width="11.5546875" style="61"/>
    <col min="8449" max="8449" width="30.33203125" style="61" customWidth="1"/>
    <col min="8450" max="8450" width="5.6640625" style="61" customWidth="1"/>
    <col min="8451" max="8453" width="11.5546875" style="61"/>
    <col min="8454" max="8454" width="1.88671875" style="61" customWidth="1"/>
    <col min="8455" max="8456" width="11.5546875" style="61"/>
    <col min="8457" max="8457" width="8.33203125" style="61" customWidth="1"/>
    <col min="8458" max="8458" width="11.5546875" style="61"/>
    <col min="8459" max="8459" width="24.6640625" style="61" customWidth="1"/>
    <col min="8460" max="8460" width="9.44140625" style="61" customWidth="1"/>
    <col min="8461" max="8461" width="11.5546875" style="61"/>
    <col min="8462" max="8462" width="9.88671875" style="61" customWidth="1"/>
    <col min="8463" max="8704" width="11.5546875" style="61"/>
    <col min="8705" max="8705" width="30.33203125" style="61" customWidth="1"/>
    <col min="8706" max="8706" width="5.6640625" style="61" customWidth="1"/>
    <col min="8707" max="8709" width="11.5546875" style="61"/>
    <col min="8710" max="8710" width="1.88671875" style="61" customWidth="1"/>
    <col min="8711" max="8712" width="11.5546875" style="61"/>
    <col min="8713" max="8713" width="8.33203125" style="61" customWidth="1"/>
    <col min="8714" max="8714" width="11.5546875" style="61"/>
    <col min="8715" max="8715" width="24.6640625" style="61" customWidth="1"/>
    <col min="8716" max="8716" width="9.44140625" style="61" customWidth="1"/>
    <col min="8717" max="8717" width="11.5546875" style="61"/>
    <col min="8718" max="8718" width="9.88671875" style="61" customWidth="1"/>
    <col min="8719" max="8960" width="11.5546875" style="61"/>
    <col min="8961" max="8961" width="30.33203125" style="61" customWidth="1"/>
    <col min="8962" max="8962" width="5.6640625" style="61" customWidth="1"/>
    <col min="8963" max="8965" width="11.5546875" style="61"/>
    <col min="8966" max="8966" width="1.88671875" style="61" customWidth="1"/>
    <col min="8967" max="8968" width="11.5546875" style="61"/>
    <col min="8969" max="8969" width="8.33203125" style="61" customWidth="1"/>
    <col min="8970" max="8970" width="11.5546875" style="61"/>
    <col min="8971" max="8971" width="24.6640625" style="61" customWidth="1"/>
    <col min="8972" max="8972" width="9.44140625" style="61" customWidth="1"/>
    <col min="8973" max="8973" width="11.5546875" style="61"/>
    <col min="8974" max="8974" width="9.88671875" style="61" customWidth="1"/>
    <col min="8975" max="9216" width="11.5546875" style="61"/>
    <col min="9217" max="9217" width="30.33203125" style="61" customWidth="1"/>
    <col min="9218" max="9218" width="5.6640625" style="61" customWidth="1"/>
    <col min="9219" max="9221" width="11.5546875" style="61"/>
    <col min="9222" max="9222" width="1.88671875" style="61" customWidth="1"/>
    <col min="9223" max="9224" width="11.5546875" style="61"/>
    <col min="9225" max="9225" width="8.33203125" style="61" customWidth="1"/>
    <col min="9226" max="9226" width="11.5546875" style="61"/>
    <col min="9227" max="9227" width="24.6640625" style="61" customWidth="1"/>
    <col min="9228" max="9228" width="9.44140625" style="61" customWidth="1"/>
    <col min="9229" max="9229" width="11.5546875" style="61"/>
    <col min="9230" max="9230" width="9.88671875" style="61" customWidth="1"/>
    <col min="9231" max="9472" width="11.5546875" style="61"/>
    <col min="9473" max="9473" width="30.33203125" style="61" customWidth="1"/>
    <col min="9474" max="9474" width="5.6640625" style="61" customWidth="1"/>
    <col min="9475" max="9477" width="11.5546875" style="61"/>
    <col min="9478" max="9478" width="1.88671875" style="61" customWidth="1"/>
    <col min="9479" max="9480" width="11.5546875" style="61"/>
    <col min="9481" max="9481" width="8.33203125" style="61" customWidth="1"/>
    <col min="9482" max="9482" width="11.5546875" style="61"/>
    <col min="9483" max="9483" width="24.6640625" style="61" customWidth="1"/>
    <col min="9484" max="9484" width="9.44140625" style="61" customWidth="1"/>
    <col min="9485" max="9485" width="11.5546875" style="61"/>
    <col min="9486" max="9486" width="9.88671875" style="61" customWidth="1"/>
    <col min="9487" max="9728" width="11.5546875" style="61"/>
    <col min="9729" max="9729" width="30.33203125" style="61" customWidth="1"/>
    <col min="9730" max="9730" width="5.6640625" style="61" customWidth="1"/>
    <col min="9731" max="9733" width="11.5546875" style="61"/>
    <col min="9734" max="9734" width="1.88671875" style="61" customWidth="1"/>
    <col min="9735" max="9736" width="11.5546875" style="61"/>
    <col min="9737" max="9737" width="8.33203125" style="61" customWidth="1"/>
    <col min="9738" max="9738" width="11.5546875" style="61"/>
    <col min="9739" max="9739" width="24.6640625" style="61" customWidth="1"/>
    <col min="9740" max="9740" width="9.44140625" style="61" customWidth="1"/>
    <col min="9741" max="9741" width="11.5546875" style="61"/>
    <col min="9742" max="9742" width="9.88671875" style="61" customWidth="1"/>
    <col min="9743" max="9984" width="11.5546875" style="61"/>
    <col min="9985" max="9985" width="30.33203125" style="61" customWidth="1"/>
    <col min="9986" max="9986" width="5.6640625" style="61" customWidth="1"/>
    <col min="9987" max="9989" width="11.5546875" style="61"/>
    <col min="9990" max="9990" width="1.88671875" style="61" customWidth="1"/>
    <col min="9991" max="9992" width="11.5546875" style="61"/>
    <col min="9993" max="9993" width="8.33203125" style="61" customWidth="1"/>
    <col min="9994" max="9994" width="11.5546875" style="61"/>
    <col min="9995" max="9995" width="24.6640625" style="61" customWidth="1"/>
    <col min="9996" max="9996" width="9.44140625" style="61" customWidth="1"/>
    <col min="9997" max="9997" width="11.5546875" style="61"/>
    <col min="9998" max="9998" width="9.88671875" style="61" customWidth="1"/>
    <col min="9999" max="10240" width="11.5546875" style="61"/>
    <col min="10241" max="10241" width="30.33203125" style="61" customWidth="1"/>
    <col min="10242" max="10242" width="5.6640625" style="61" customWidth="1"/>
    <col min="10243" max="10245" width="11.5546875" style="61"/>
    <col min="10246" max="10246" width="1.88671875" style="61" customWidth="1"/>
    <col min="10247" max="10248" width="11.5546875" style="61"/>
    <col min="10249" max="10249" width="8.33203125" style="61" customWidth="1"/>
    <col min="10250" max="10250" width="11.5546875" style="61"/>
    <col min="10251" max="10251" width="24.6640625" style="61" customWidth="1"/>
    <col min="10252" max="10252" width="9.44140625" style="61" customWidth="1"/>
    <col min="10253" max="10253" width="11.5546875" style="61"/>
    <col min="10254" max="10254" width="9.88671875" style="61" customWidth="1"/>
    <col min="10255" max="10496" width="11.5546875" style="61"/>
    <col min="10497" max="10497" width="30.33203125" style="61" customWidth="1"/>
    <col min="10498" max="10498" width="5.6640625" style="61" customWidth="1"/>
    <col min="10499" max="10501" width="11.5546875" style="61"/>
    <col min="10502" max="10502" width="1.88671875" style="61" customWidth="1"/>
    <col min="10503" max="10504" width="11.5546875" style="61"/>
    <col min="10505" max="10505" width="8.33203125" style="61" customWidth="1"/>
    <col min="10506" max="10506" width="11.5546875" style="61"/>
    <col min="10507" max="10507" width="24.6640625" style="61" customWidth="1"/>
    <col min="10508" max="10508" width="9.44140625" style="61" customWidth="1"/>
    <col min="10509" max="10509" width="11.5546875" style="61"/>
    <col min="10510" max="10510" width="9.88671875" style="61" customWidth="1"/>
    <col min="10511" max="10752" width="11.5546875" style="61"/>
    <col min="10753" max="10753" width="30.33203125" style="61" customWidth="1"/>
    <col min="10754" max="10754" width="5.6640625" style="61" customWidth="1"/>
    <col min="10755" max="10757" width="11.5546875" style="61"/>
    <col min="10758" max="10758" width="1.88671875" style="61" customWidth="1"/>
    <col min="10759" max="10760" width="11.5546875" style="61"/>
    <col min="10761" max="10761" width="8.33203125" style="61" customWidth="1"/>
    <col min="10762" max="10762" width="11.5546875" style="61"/>
    <col min="10763" max="10763" width="24.6640625" style="61" customWidth="1"/>
    <col min="10764" max="10764" width="9.44140625" style="61" customWidth="1"/>
    <col min="10765" max="10765" width="11.5546875" style="61"/>
    <col min="10766" max="10766" width="9.88671875" style="61" customWidth="1"/>
    <col min="10767" max="11008" width="11.5546875" style="61"/>
    <col min="11009" max="11009" width="30.33203125" style="61" customWidth="1"/>
    <col min="11010" max="11010" width="5.6640625" style="61" customWidth="1"/>
    <col min="11011" max="11013" width="11.5546875" style="61"/>
    <col min="11014" max="11014" width="1.88671875" style="61" customWidth="1"/>
    <col min="11015" max="11016" width="11.5546875" style="61"/>
    <col min="11017" max="11017" width="8.33203125" style="61" customWidth="1"/>
    <col min="11018" max="11018" width="11.5546875" style="61"/>
    <col min="11019" max="11019" width="24.6640625" style="61" customWidth="1"/>
    <col min="11020" max="11020" width="9.44140625" style="61" customWidth="1"/>
    <col min="11021" max="11021" width="11.5546875" style="61"/>
    <col min="11022" max="11022" width="9.88671875" style="61" customWidth="1"/>
    <col min="11023" max="11264" width="11.5546875" style="61"/>
    <col min="11265" max="11265" width="30.33203125" style="61" customWidth="1"/>
    <col min="11266" max="11266" width="5.6640625" style="61" customWidth="1"/>
    <col min="11267" max="11269" width="11.5546875" style="61"/>
    <col min="11270" max="11270" width="1.88671875" style="61" customWidth="1"/>
    <col min="11271" max="11272" width="11.5546875" style="61"/>
    <col min="11273" max="11273" width="8.33203125" style="61" customWidth="1"/>
    <col min="11274" max="11274" width="11.5546875" style="61"/>
    <col min="11275" max="11275" width="24.6640625" style="61" customWidth="1"/>
    <col min="11276" max="11276" width="9.44140625" style="61" customWidth="1"/>
    <col min="11277" max="11277" width="11.5546875" style="61"/>
    <col min="11278" max="11278" width="9.88671875" style="61" customWidth="1"/>
    <col min="11279" max="11520" width="11.5546875" style="61"/>
    <col min="11521" max="11521" width="30.33203125" style="61" customWidth="1"/>
    <col min="11522" max="11522" width="5.6640625" style="61" customWidth="1"/>
    <col min="11523" max="11525" width="11.5546875" style="61"/>
    <col min="11526" max="11526" width="1.88671875" style="61" customWidth="1"/>
    <col min="11527" max="11528" width="11.5546875" style="61"/>
    <col min="11529" max="11529" width="8.33203125" style="61" customWidth="1"/>
    <col min="11530" max="11530" width="11.5546875" style="61"/>
    <col min="11531" max="11531" width="24.6640625" style="61" customWidth="1"/>
    <col min="11532" max="11532" width="9.44140625" style="61" customWidth="1"/>
    <col min="11533" max="11533" width="11.5546875" style="61"/>
    <col min="11534" max="11534" width="9.88671875" style="61" customWidth="1"/>
    <col min="11535" max="11776" width="11.5546875" style="61"/>
    <col min="11777" max="11777" width="30.33203125" style="61" customWidth="1"/>
    <col min="11778" max="11778" width="5.6640625" style="61" customWidth="1"/>
    <col min="11779" max="11781" width="11.5546875" style="61"/>
    <col min="11782" max="11782" width="1.88671875" style="61" customWidth="1"/>
    <col min="11783" max="11784" width="11.5546875" style="61"/>
    <col min="11785" max="11785" width="8.33203125" style="61" customWidth="1"/>
    <col min="11786" max="11786" width="11.5546875" style="61"/>
    <col min="11787" max="11787" width="24.6640625" style="61" customWidth="1"/>
    <col min="11788" max="11788" width="9.44140625" style="61" customWidth="1"/>
    <col min="11789" max="11789" width="11.5546875" style="61"/>
    <col min="11790" max="11790" width="9.88671875" style="61" customWidth="1"/>
    <col min="11791" max="12032" width="11.5546875" style="61"/>
    <col min="12033" max="12033" width="30.33203125" style="61" customWidth="1"/>
    <col min="12034" max="12034" width="5.6640625" style="61" customWidth="1"/>
    <col min="12035" max="12037" width="11.5546875" style="61"/>
    <col min="12038" max="12038" width="1.88671875" style="61" customWidth="1"/>
    <col min="12039" max="12040" width="11.5546875" style="61"/>
    <col min="12041" max="12041" width="8.33203125" style="61" customWidth="1"/>
    <col min="12042" max="12042" width="11.5546875" style="61"/>
    <col min="12043" max="12043" width="24.6640625" style="61" customWidth="1"/>
    <col min="12044" max="12044" width="9.44140625" style="61" customWidth="1"/>
    <col min="12045" max="12045" width="11.5546875" style="61"/>
    <col min="12046" max="12046" width="9.88671875" style="61" customWidth="1"/>
    <col min="12047" max="12288" width="11.5546875" style="61"/>
    <col min="12289" max="12289" width="30.33203125" style="61" customWidth="1"/>
    <col min="12290" max="12290" width="5.6640625" style="61" customWidth="1"/>
    <col min="12291" max="12293" width="11.5546875" style="61"/>
    <col min="12294" max="12294" width="1.88671875" style="61" customWidth="1"/>
    <col min="12295" max="12296" width="11.5546875" style="61"/>
    <col min="12297" max="12297" width="8.33203125" style="61" customWidth="1"/>
    <col min="12298" max="12298" width="11.5546875" style="61"/>
    <col min="12299" max="12299" width="24.6640625" style="61" customWidth="1"/>
    <col min="12300" max="12300" width="9.44140625" style="61" customWidth="1"/>
    <col min="12301" max="12301" width="11.5546875" style="61"/>
    <col min="12302" max="12302" width="9.88671875" style="61" customWidth="1"/>
    <col min="12303" max="12544" width="11.5546875" style="61"/>
    <col min="12545" max="12545" width="30.33203125" style="61" customWidth="1"/>
    <col min="12546" max="12546" width="5.6640625" style="61" customWidth="1"/>
    <col min="12547" max="12549" width="11.5546875" style="61"/>
    <col min="12550" max="12550" width="1.88671875" style="61" customWidth="1"/>
    <col min="12551" max="12552" width="11.5546875" style="61"/>
    <col min="12553" max="12553" width="8.33203125" style="61" customWidth="1"/>
    <col min="12554" max="12554" width="11.5546875" style="61"/>
    <col min="12555" max="12555" width="24.6640625" style="61" customWidth="1"/>
    <col min="12556" max="12556" width="9.44140625" style="61" customWidth="1"/>
    <col min="12557" max="12557" width="11.5546875" style="61"/>
    <col min="12558" max="12558" width="9.88671875" style="61" customWidth="1"/>
    <col min="12559" max="12800" width="11.5546875" style="61"/>
    <col min="12801" max="12801" width="30.33203125" style="61" customWidth="1"/>
    <col min="12802" max="12802" width="5.6640625" style="61" customWidth="1"/>
    <col min="12803" max="12805" width="11.5546875" style="61"/>
    <col min="12806" max="12806" width="1.88671875" style="61" customWidth="1"/>
    <col min="12807" max="12808" width="11.5546875" style="61"/>
    <col min="12809" max="12809" width="8.33203125" style="61" customWidth="1"/>
    <col min="12810" max="12810" width="11.5546875" style="61"/>
    <col min="12811" max="12811" width="24.6640625" style="61" customWidth="1"/>
    <col min="12812" max="12812" width="9.44140625" style="61" customWidth="1"/>
    <col min="12813" max="12813" width="11.5546875" style="61"/>
    <col min="12814" max="12814" width="9.88671875" style="61" customWidth="1"/>
    <col min="12815" max="13056" width="11.5546875" style="61"/>
    <col min="13057" max="13057" width="30.33203125" style="61" customWidth="1"/>
    <col min="13058" max="13058" width="5.6640625" style="61" customWidth="1"/>
    <col min="13059" max="13061" width="11.5546875" style="61"/>
    <col min="13062" max="13062" width="1.88671875" style="61" customWidth="1"/>
    <col min="13063" max="13064" width="11.5546875" style="61"/>
    <col min="13065" max="13065" width="8.33203125" style="61" customWidth="1"/>
    <col min="13066" max="13066" width="11.5546875" style="61"/>
    <col min="13067" max="13067" width="24.6640625" style="61" customWidth="1"/>
    <col min="13068" max="13068" width="9.44140625" style="61" customWidth="1"/>
    <col min="13069" max="13069" width="11.5546875" style="61"/>
    <col min="13070" max="13070" width="9.88671875" style="61" customWidth="1"/>
    <col min="13071" max="13312" width="11.5546875" style="61"/>
    <col min="13313" max="13313" width="30.33203125" style="61" customWidth="1"/>
    <col min="13314" max="13314" width="5.6640625" style="61" customWidth="1"/>
    <col min="13315" max="13317" width="11.5546875" style="61"/>
    <col min="13318" max="13318" width="1.88671875" style="61" customWidth="1"/>
    <col min="13319" max="13320" width="11.5546875" style="61"/>
    <col min="13321" max="13321" width="8.33203125" style="61" customWidth="1"/>
    <col min="13322" max="13322" width="11.5546875" style="61"/>
    <col min="13323" max="13323" width="24.6640625" style="61" customWidth="1"/>
    <col min="13324" max="13324" width="9.44140625" style="61" customWidth="1"/>
    <col min="13325" max="13325" width="11.5546875" style="61"/>
    <col min="13326" max="13326" width="9.88671875" style="61" customWidth="1"/>
    <col min="13327" max="13568" width="11.5546875" style="61"/>
    <col min="13569" max="13569" width="30.33203125" style="61" customWidth="1"/>
    <col min="13570" max="13570" width="5.6640625" style="61" customWidth="1"/>
    <col min="13571" max="13573" width="11.5546875" style="61"/>
    <col min="13574" max="13574" width="1.88671875" style="61" customWidth="1"/>
    <col min="13575" max="13576" width="11.5546875" style="61"/>
    <col min="13577" max="13577" width="8.33203125" style="61" customWidth="1"/>
    <col min="13578" max="13578" width="11.5546875" style="61"/>
    <col min="13579" max="13579" width="24.6640625" style="61" customWidth="1"/>
    <col min="13580" max="13580" width="9.44140625" style="61" customWidth="1"/>
    <col min="13581" max="13581" width="11.5546875" style="61"/>
    <col min="13582" max="13582" width="9.88671875" style="61" customWidth="1"/>
    <col min="13583" max="13824" width="11.5546875" style="61"/>
    <col min="13825" max="13825" width="30.33203125" style="61" customWidth="1"/>
    <col min="13826" max="13826" width="5.6640625" style="61" customWidth="1"/>
    <col min="13827" max="13829" width="11.5546875" style="61"/>
    <col min="13830" max="13830" width="1.88671875" style="61" customWidth="1"/>
    <col min="13831" max="13832" width="11.5546875" style="61"/>
    <col min="13833" max="13833" width="8.33203125" style="61" customWidth="1"/>
    <col min="13834" max="13834" width="11.5546875" style="61"/>
    <col min="13835" max="13835" width="24.6640625" style="61" customWidth="1"/>
    <col min="13836" max="13836" width="9.44140625" style="61" customWidth="1"/>
    <col min="13837" max="13837" width="11.5546875" style="61"/>
    <col min="13838" max="13838" width="9.88671875" style="61" customWidth="1"/>
    <col min="13839" max="14080" width="11.5546875" style="61"/>
    <col min="14081" max="14081" width="30.33203125" style="61" customWidth="1"/>
    <col min="14082" max="14082" width="5.6640625" style="61" customWidth="1"/>
    <col min="14083" max="14085" width="11.5546875" style="61"/>
    <col min="14086" max="14086" width="1.88671875" style="61" customWidth="1"/>
    <col min="14087" max="14088" width="11.5546875" style="61"/>
    <col min="14089" max="14089" width="8.33203125" style="61" customWidth="1"/>
    <col min="14090" max="14090" width="11.5546875" style="61"/>
    <col min="14091" max="14091" width="24.6640625" style="61" customWidth="1"/>
    <col min="14092" max="14092" width="9.44140625" style="61" customWidth="1"/>
    <col min="14093" max="14093" width="11.5546875" style="61"/>
    <col min="14094" max="14094" width="9.88671875" style="61" customWidth="1"/>
    <col min="14095" max="14336" width="11.5546875" style="61"/>
    <col min="14337" max="14337" width="30.33203125" style="61" customWidth="1"/>
    <col min="14338" max="14338" width="5.6640625" style="61" customWidth="1"/>
    <col min="14339" max="14341" width="11.5546875" style="61"/>
    <col min="14342" max="14342" width="1.88671875" style="61" customWidth="1"/>
    <col min="14343" max="14344" width="11.5546875" style="61"/>
    <col min="14345" max="14345" width="8.33203125" style="61" customWidth="1"/>
    <col min="14346" max="14346" width="11.5546875" style="61"/>
    <col min="14347" max="14347" width="24.6640625" style="61" customWidth="1"/>
    <col min="14348" max="14348" width="9.44140625" style="61" customWidth="1"/>
    <col min="14349" max="14349" width="11.5546875" style="61"/>
    <col min="14350" max="14350" width="9.88671875" style="61" customWidth="1"/>
    <col min="14351" max="14592" width="11.5546875" style="61"/>
    <col min="14593" max="14593" width="30.33203125" style="61" customWidth="1"/>
    <col min="14594" max="14594" width="5.6640625" style="61" customWidth="1"/>
    <col min="14595" max="14597" width="11.5546875" style="61"/>
    <col min="14598" max="14598" width="1.88671875" style="61" customWidth="1"/>
    <col min="14599" max="14600" width="11.5546875" style="61"/>
    <col min="14601" max="14601" width="8.33203125" style="61" customWidth="1"/>
    <col min="14602" max="14602" width="11.5546875" style="61"/>
    <col min="14603" max="14603" width="24.6640625" style="61" customWidth="1"/>
    <col min="14604" max="14604" width="9.44140625" style="61" customWidth="1"/>
    <col min="14605" max="14605" width="11.5546875" style="61"/>
    <col min="14606" max="14606" width="9.88671875" style="61" customWidth="1"/>
    <col min="14607" max="14848" width="11.5546875" style="61"/>
    <col min="14849" max="14849" width="30.33203125" style="61" customWidth="1"/>
    <col min="14850" max="14850" width="5.6640625" style="61" customWidth="1"/>
    <col min="14851" max="14853" width="11.5546875" style="61"/>
    <col min="14854" max="14854" width="1.88671875" style="61" customWidth="1"/>
    <col min="14855" max="14856" width="11.5546875" style="61"/>
    <col min="14857" max="14857" width="8.33203125" style="61" customWidth="1"/>
    <col min="14858" max="14858" width="11.5546875" style="61"/>
    <col min="14859" max="14859" width="24.6640625" style="61" customWidth="1"/>
    <col min="14860" max="14860" width="9.44140625" style="61" customWidth="1"/>
    <col min="14861" max="14861" width="11.5546875" style="61"/>
    <col min="14862" max="14862" width="9.88671875" style="61" customWidth="1"/>
    <col min="14863" max="15104" width="11.5546875" style="61"/>
    <col min="15105" max="15105" width="30.33203125" style="61" customWidth="1"/>
    <col min="15106" max="15106" width="5.6640625" style="61" customWidth="1"/>
    <col min="15107" max="15109" width="11.5546875" style="61"/>
    <col min="15110" max="15110" width="1.88671875" style="61" customWidth="1"/>
    <col min="15111" max="15112" width="11.5546875" style="61"/>
    <col min="15113" max="15113" width="8.33203125" style="61" customWidth="1"/>
    <col min="15114" max="15114" width="11.5546875" style="61"/>
    <col min="15115" max="15115" width="24.6640625" style="61" customWidth="1"/>
    <col min="15116" max="15116" width="9.44140625" style="61" customWidth="1"/>
    <col min="15117" max="15117" width="11.5546875" style="61"/>
    <col min="15118" max="15118" width="9.88671875" style="61" customWidth="1"/>
    <col min="15119" max="15360" width="11.5546875" style="61"/>
    <col min="15361" max="15361" width="30.33203125" style="61" customWidth="1"/>
    <col min="15362" max="15362" width="5.6640625" style="61" customWidth="1"/>
    <col min="15363" max="15365" width="11.5546875" style="61"/>
    <col min="15366" max="15366" width="1.88671875" style="61" customWidth="1"/>
    <col min="15367" max="15368" width="11.5546875" style="61"/>
    <col min="15369" max="15369" width="8.33203125" style="61" customWidth="1"/>
    <col min="15370" max="15370" width="11.5546875" style="61"/>
    <col min="15371" max="15371" width="24.6640625" style="61" customWidth="1"/>
    <col min="15372" max="15372" width="9.44140625" style="61" customWidth="1"/>
    <col min="15373" max="15373" width="11.5546875" style="61"/>
    <col min="15374" max="15374" width="9.88671875" style="61" customWidth="1"/>
    <col min="15375" max="15616" width="11.5546875" style="61"/>
    <col min="15617" max="15617" width="30.33203125" style="61" customWidth="1"/>
    <col min="15618" max="15618" width="5.6640625" style="61" customWidth="1"/>
    <col min="15619" max="15621" width="11.5546875" style="61"/>
    <col min="15622" max="15622" width="1.88671875" style="61" customWidth="1"/>
    <col min="15623" max="15624" width="11.5546875" style="61"/>
    <col min="15625" max="15625" width="8.33203125" style="61" customWidth="1"/>
    <col min="15626" max="15626" width="11.5546875" style="61"/>
    <col min="15627" max="15627" width="24.6640625" style="61" customWidth="1"/>
    <col min="15628" max="15628" width="9.44140625" style="61" customWidth="1"/>
    <col min="15629" max="15629" width="11.5546875" style="61"/>
    <col min="15630" max="15630" width="9.88671875" style="61" customWidth="1"/>
    <col min="15631" max="15872" width="11.5546875" style="61"/>
    <col min="15873" max="15873" width="30.33203125" style="61" customWidth="1"/>
    <col min="15874" max="15874" width="5.6640625" style="61" customWidth="1"/>
    <col min="15875" max="15877" width="11.5546875" style="61"/>
    <col min="15878" max="15878" width="1.88671875" style="61" customWidth="1"/>
    <col min="15879" max="15880" width="11.5546875" style="61"/>
    <col min="15881" max="15881" width="8.33203125" style="61" customWidth="1"/>
    <col min="15882" max="15882" width="11.5546875" style="61"/>
    <col min="15883" max="15883" width="24.6640625" style="61" customWidth="1"/>
    <col min="15884" max="15884" width="9.44140625" style="61" customWidth="1"/>
    <col min="15885" max="15885" width="11.5546875" style="61"/>
    <col min="15886" max="15886" width="9.88671875" style="61" customWidth="1"/>
    <col min="15887" max="16128" width="11.5546875" style="61"/>
    <col min="16129" max="16129" width="30.33203125" style="61" customWidth="1"/>
    <col min="16130" max="16130" width="5.6640625" style="61" customWidth="1"/>
    <col min="16131" max="16133" width="11.5546875" style="61"/>
    <col min="16134" max="16134" width="1.88671875" style="61" customWidth="1"/>
    <col min="16135" max="16136" width="11.5546875" style="61"/>
    <col min="16137" max="16137" width="8.33203125" style="61" customWidth="1"/>
    <col min="16138" max="16138" width="11.5546875" style="61"/>
    <col min="16139" max="16139" width="24.6640625" style="61" customWidth="1"/>
    <col min="16140" max="16140" width="9.44140625" style="61" customWidth="1"/>
    <col min="16141" max="16141" width="11.5546875" style="61"/>
    <col min="16142" max="16142" width="9.88671875" style="61" customWidth="1"/>
    <col min="16143" max="16384" width="11.5546875" style="61"/>
  </cols>
  <sheetData>
    <row r="3" spans="1:15" ht="13.8" x14ac:dyDescent="0.3">
      <c r="G3" s="135" t="s">
        <v>335</v>
      </c>
      <c r="H3" s="135"/>
      <c r="I3" s="135"/>
    </row>
    <row r="4" spans="1:15" ht="13.8" x14ac:dyDescent="0.3">
      <c r="A4" s="135" t="s">
        <v>336</v>
      </c>
      <c r="B4" s="135"/>
      <c r="C4" s="135"/>
      <c r="D4" s="135"/>
      <c r="E4" s="135"/>
      <c r="G4" s="63" t="s">
        <v>1</v>
      </c>
      <c r="H4" s="64">
        <v>6</v>
      </c>
      <c r="I4" s="63" t="s">
        <v>5</v>
      </c>
      <c r="K4" s="135" t="s">
        <v>337</v>
      </c>
      <c r="L4" s="135"/>
      <c r="M4" s="135"/>
      <c r="N4" s="135"/>
      <c r="O4" s="135"/>
    </row>
    <row r="5" spans="1:15" ht="13.8" x14ac:dyDescent="0.3">
      <c r="A5" s="62" t="s">
        <v>338</v>
      </c>
      <c r="B5" s="62" t="s">
        <v>339</v>
      </c>
      <c r="C5" s="62" t="s">
        <v>340</v>
      </c>
      <c r="D5" s="62" t="s">
        <v>341</v>
      </c>
      <c r="E5" s="62" t="s">
        <v>342</v>
      </c>
      <c r="G5" s="63" t="s">
        <v>343</v>
      </c>
      <c r="H5" s="64">
        <v>3.55</v>
      </c>
      <c r="I5" s="63" t="s">
        <v>5</v>
      </c>
      <c r="K5" s="62" t="s">
        <v>338</v>
      </c>
      <c r="L5" s="62" t="s">
        <v>339</v>
      </c>
      <c r="M5" s="62" t="s">
        <v>340</v>
      </c>
      <c r="N5" s="62" t="s">
        <v>341</v>
      </c>
      <c r="O5" s="62" t="s">
        <v>342</v>
      </c>
    </row>
    <row r="6" spans="1:15" ht="13.8" x14ac:dyDescent="0.3">
      <c r="A6" s="65" t="s">
        <v>346</v>
      </c>
      <c r="B6" s="65" t="s">
        <v>42</v>
      </c>
      <c r="C6" s="66">
        <v>113.4</v>
      </c>
      <c r="D6" s="65">
        <v>1</v>
      </c>
      <c r="E6" s="66">
        <f t="shared" ref="E6:E7" si="0">+C6*D6</f>
        <v>113.4</v>
      </c>
      <c r="G6" s="63" t="s">
        <v>344</v>
      </c>
      <c r="H6" s="64">
        <v>3.55</v>
      </c>
      <c r="I6" s="63" t="s">
        <v>5</v>
      </c>
      <c r="K6" s="65" t="s">
        <v>345</v>
      </c>
      <c r="L6" s="65" t="s">
        <v>42</v>
      </c>
      <c r="M6" s="66">
        <v>864</v>
      </c>
      <c r="N6" s="65">
        <v>1</v>
      </c>
      <c r="O6" s="66">
        <f>+M6*N6</f>
        <v>864</v>
      </c>
    </row>
    <row r="7" spans="1:15" ht="13.8" x14ac:dyDescent="0.3">
      <c r="A7" s="65" t="s">
        <v>371</v>
      </c>
      <c r="B7" s="65" t="s">
        <v>42</v>
      </c>
      <c r="C7" s="66">
        <v>113.4</v>
      </c>
      <c r="D7" s="65">
        <v>1</v>
      </c>
      <c r="E7" s="66">
        <f t="shared" si="0"/>
        <v>113.4</v>
      </c>
      <c r="G7" s="63" t="s">
        <v>97</v>
      </c>
      <c r="H7" s="64">
        <f>+(H4+(H4-H5))/2*H5/2+(H4+(H4-H6))/2*H6/2</f>
        <v>14.998749999999998</v>
      </c>
      <c r="I7" s="63" t="s">
        <v>42</v>
      </c>
      <c r="K7" s="65" t="s">
        <v>346</v>
      </c>
      <c r="L7" s="65" t="s">
        <v>42</v>
      </c>
      <c r="M7" s="66">
        <v>864</v>
      </c>
      <c r="N7" s="65">
        <v>1</v>
      </c>
      <c r="O7" s="66">
        <f>+M7*N7</f>
        <v>864</v>
      </c>
    </row>
    <row r="8" spans="1:15" ht="13.8" x14ac:dyDescent="0.3">
      <c r="C8" s="136" t="s">
        <v>354</v>
      </c>
      <c r="D8" s="136"/>
      <c r="E8" s="68">
        <f>SUM(E6:E7)</f>
        <v>226.8</v>
      </c>
      <c r="G8" s="63" t="s">
        <v>54</v>
      </c>
      <c r="H8" s="64">
        <v>985</v>
      </c>
      <c r="I8" s="63" t="s">
        <v>347</v>
      </c>
      <c r="K8" s="65" t="s">
        <v>348</v>
      </c>
      <c r="L8" s="65" t="s">
        <v>42</v>
      </c>
      <c r="M8" s="66">
        <v>864</v>
      </c>
      <c r="N8" s="65">
        <v>1</v>
      </c>
      <c r="O8" s="66">
        <f>+M8*N8</f>
        <v>864</v>
      </c>
    </row>
    <row r="9" spans="1:15" ht="13.8" x14ac:dyDescent="0.3">
      <c r="G9" s="63" t="s">
        <v>349</v>
      </c>
      <c r="H9" s="64">
        <f>+H7*H8</f>
        <v>14773.768749999997</v>
      </c>
      <c r="I9" s="63" t="s">
        <v>327</v>
      </c>
      <c r="K9" s="65" t="s">
        <v>350</v>
      </c>
      <c r="L9" s="65" t="s">
        <v>42</v>
      </c>
      <c r="M9" s="66">
        <v>864</v>
      </c>
      <c r="N9" s="65">
        <v>1</v>
      </c>
      <c r="O9" s="66">
        <f>+M9*N9</f>
        <v>864</v>
      </c>
    </row>
    <row r="10" spans="1:15" ht="13.8" x14ac:dyDescent="0.3">
      <c r="A10" s="135" t="s">
        <v>356</v>
      </c>
      <c r="B10" s="135"/>
      <c r="C10" s="135"/>
      <c r="D10" s="135"/>
      <c r="G10" s="63" t="s">
        <v>351</v>
      </c>
      <c r="H10" s="64">
        <f>+H9/H4</f>
        <v>2462.2947916666662</v>
      </c>
      <c r="I10" s="63" t="s">
        <v>162</v>
      </c>
      <c r="K10" s="65" t="s">
        <v>352</v>
      </c>
      <c r="L10" s="65"/>
      <c r="M10" s="66">
        <v>864</v>
      </c>
      <c r="N10" s="65">
        <v>1</v>
      </c>
      <c r="O10" s="66">
        <f>+M10*N10</f>
        <v>864</v>
      </c>
    </row>
    <row r="11" spans="1:15" ht="13.8" x14ac:dyDescent="0.3">
      <c r="A11" s="134" t="s">
        <v>357</v>
      </c>
      <c r="B11" s="134"/>
      <c r="C11" s="66">
        <f>+E8</f>
        <v>226.8</v>
      </c>
      <c r="D11" s="65" t="s">
        <v>42</v>
      </c>
      <c r="G11" s="63" t="s">
        <v>156</v>
      </c>
      <c r="H11" s="67">
        <f>+H10*H4*H4/10*100</f>
        <v>886426.125</v>
      </c>
      <c r="I11" s="63" t="s">
        <v>353</v>
      </c>
      <c r="K11" s="60"/>
      <c r="L11" s="60"/>
      <c r="M11" s="136" t="s">
        <v>354</v>
      </c>
      <c r="N11" s="136"/>
      <c r="O11" s="68">
        <f>SUM(O6:O10)</f>
        <v>4320</v>
      </c>
    </row>
    <row r="12" spans="1:15" ht="13.8" x14ac:dyDescent="0.3">
      <c r="A12" s="134" t="s">
        <v>358</v>
      </c>
      <c r="B12" s="134"/>
      <c r="C12" s="65">
        <v>1.7</v>
      </c>
      <c r="D12" s="65" t="s">
        <v>359</v>
      </c>
      <c r="G12" s="63" t="s">
        <v>66</v>
      </c>
      <c r="H12" s="64">
        <f>+(H11/0.145/210/35)^0.5</f>
        <v>28.839890223803586</v>
      </c>
      <c r="I12" s="63" t="s">
        <v>12</v>
      </c>
      <c r="K12" s="60"/>
      <c r="L12" s="60"/>
      <c r="M12" s="60"/>
      <c r="N12" s="60"/>
      <c r="O12" s="60"/>
    </row>
    <row r="13" spans="1:15" ht="13.8" x14ac:dyDescent="0.3">
      <c r="A13" s="134" t="s">
        <v>360</v>
      </c>
      <c r="B13" s="134"/>
      <c r="C13" s="65">
        <v>0.13</v>
      </c>
      <c r="D13" s="65" t="s">
        <v>5</v>
      </c>
      <c r="K13" s="135" t="s">
        <v>355</v>
      </c>
      <c r="L13" s="135"/>
      <c r="M13" s="135"/>
      <c r="N13" s="135"/>
      <c r="O13" s="60"/>
    </row>
    <row r="14" spans="1:15" ht="13.8" x14ac:dyDescent="0.3">
      <c r="A14" s="134" t="s">
        <v>361</v>
      </c>
      <c r="B14" s="134"/>
      <c r="C14" s="66">
        <f>+C11*C12*C13</f>
        <v>50.122800000000005</v>
      </c>
      <c r="D14" s="65" t="s">
        <v>36</v>
      </c>
      <c r="K14" s="135" t="s">
        <v>356</v>
      </c>
      <c r="L14" s="135"/>
      <c r="M14" s="135"/>
      <c r="N14" s="135"/>
      <c r="O14" s="60"/>
    </row>
    <row r="15" spans="1:15" x14ac:dyDescent="0.25">
      <c r="A15" s="134" t="s">
        <v>362</v>
      </c>
      <c r="B15" s="134"/>
      <c r="C15" s="65">
        <v>750</v>
      </c>
      <c r="D15" s="65" t="s">
        <v>363</v>
      </c>
      <c r="K15" s="134" t="s">
        <v>357</v>
      </c>
      <c r="L15" s="134"/>
      <c r="M15" s="65">
        <f>+O11</f>
        <v>4320</v>
      </c>
      <c r="N15" s="65" t="s">
        <v>42</v>
      </c>
      <c r="O15" s="60"/>
    </row>
    <row r="16" spans="1:15" x14ac:dyDescent="0.25">
      <c r="A16" s="134" t="s">
        <v>364</v>
      </c>
      <c r="B16" s="134"/>
      <c r="C16" s="66">
        <f>+C15*C14</f>
        <v>37592.100000000006</v>
      </c>
      <c r="D16" s="65" t="s">
        <v>327</v>
      </c>
      <c r="K16" s="134" t="s">
        <v>358</v>
      </c>
      <c r="L16" s="134"/>
      <c r="M16" s="65">
        <v>1.7</v>
      </c>
      <c r="N16" s="65" t="s">
        <v>359</v>
      </c>
      <c r="O16" s="60"/>
    </row>
    <row r="17" spans="1:15" x14ac:dyDescent="0.25">
      <c r="A17" s="134" t="s">
        <v>365</v>
      </c>
      <c r="B17" s="134"/>
      <c r="C17" s="70">
        <f>+C16/C11</f>
        <v>165.75000000000003</v>
      </c>
      <c r="D17" s="65" t="s">
        <v>347</v>
      </c>
      <c r="K17" s="134" t="s">
        <v>360</v>
      </c>
      <c r="L17" s="134"/>
      <c r="M17" s="65">
        <v>0.13</v>
      </c>
      <c r="N17" s="65" t="s">
        <v>5</v>
      </c>
      <c r="O17" s="60"/>
    </row>
    <row r="18" spans="1:15" x14ac:dyDescent="0.25">
      <c r="K18" s="134" t="s">
        <v>361</v>
      </c>
      <c r="L18" s="134"/>
      <c r="M18" s="66">
        <f>+M15*M16*M17</f>
        <v>954.72</v>
      </c>
      <c r="N18" s="65" t="s">
        <v>36</v>
      </c>
      <c r="O18" s="60"/>
    </row>
    <row r="19" spans="1:15" x14ac:dyDescent="0.25">
      <c r="K19" s="134" t="s">
        <v>362</v>
      </c>
      <c r="L19" s="134"/>
      <c r="M19" s="65">
        <v>850</v>
      </c>
      <c r="N19" s="65" t="s">
        <v>363</v>
      </c>
      <c r="O19" s="60"/>
    </row>
    <row r="20" spans="1:15" ht="13.8" x14ac:dyDescent="0.3">
      <c r="A20" s="135" t="s">
        <v>366</v>
      </c>
      <c r="B20" s="135"/>
      <c r="C20" s="135"/>
      <c r="D20" s="135"/>
      <c r="K20" s="134" t="s">
        <v>364</v>
      </c>
      <c r="L20" s="134"/>
      <c r="M20" s="66">
        <f>+M18*M19</f>
        <v>811512</v>
      </c>
      <c r="N20" s="65" t="s">
        <v>327</v>
      </c>
      <c r="O20" s="60"/>
    </row>
    <row r="21" spans="1:15" x14ac:dyDescent="0.25">
      <c r="A21" s="134" t="s">
        <v>372</v>
      </c>
      <c r="B21" s="134"/>
      <c r="C21" s="65">
        <v>240</v>
      </c>
      <c r="D21" s="65" t="s">
        <v>347</v>
      </c>
      <c r="K21" s="134" t="s">
        <v>365</v>
      </c>
      <c r="L21" s="134"/>
      <c r="M21" s="66">
        <f>+M20/M15</f>
        <v>187.85</v>
      </c>
      <c r="N21" s="65" t="s">
        <v>347</v>
      </c>
      <c r="O21" s="60"/>
    </row>
    <row r="22" spans="1:15" x14ac:dyDescent="0.25">
      <c r="A22" s="134" t="s">
        <v>368</v>
      </c>
      <c r="B22" s="134"/>
      <c r="C22" s="70">
        <f>+C17</f>
        <v>165.75000000000003</v>
      </c>
      <c r="D22" s="65" t="s">
        <v>347</v>
      </c>
      <c r="K22" s="60"/>
      <c r="L22" s="60"/>
      <c r="M22" s="60"/>
      <c r="N22" s="60"/>
      <c r="O22" s="60"/>
    </row>
    <row r="23" spans="1:15" x14ac:dyDescent="0.25">
      <c r="A23" s="134" t="s">
        <v>369</v>
      </c>
      <c r="B23" s="134"/>
      <c r="C23" s="65">
        <v>40</v>
      </c>
      <c r="D23" s="65" t="s">
        <v>347</v>
      </c>
      <c r="K23" s="60"/>
      <c r="L23" s="60"/>
      <c r="M23" s="60"/>
      <c r="N23" s="60"/>
      <c r="O23" s="60"/>
    </row>
    <row r="24" spans="1:15" ht="13.8" x14ac:dyDescent="0.3">
      <c r="A24" s="131" t="s">
        <v>370</v>
      </c>
      <c r="B24" s="132"/>
      <c r="C24" s="65">
        <v>30</v>
      </c>
      <c r="D24" s="65" t="s">
        <v>347</v>
      </c>
      <c r="K24" s="135" t="s">
        <v>366</v>
      </c>
      <c r="L24" s="135"/>
      <c r="M24" s="135"/>
      <c r="N24" s="135"/>
      <c r="O24" s="60"/>
    </row>
    <row r="25" spans="1:15" ht="13.8" x14ac:dyDescent="0.3">
      <c r="A25" s="133" t="s">
        <v>342</v>
      </c>
      <c r="B25" s="133"/>
      <c r="C25" s="71">
        <f>SUM(C21:C24)</f>
        <v>475.75</v>
      </c>
      <c r="D25" s="69" t="s">
        <v>347</v>
      </c>
      <c r="K25" s="134" t="s">
        <v>367</v>
      </c>
      <c r="L25" s="134"/>
      <c r="M25" s="65">
        <v>240</v>
      </c>
      <c r="N25" s="65" t="s">
        <v>347</v>
      </c>
      <c r="O25" s="60"/>
    </row>
    <row r="26" spans="1:15" x14ac:dyDescent="0.25">
      <c r="K26" s="134" t="s">
        <v>368</v>
      </c>
      <c r="L26" s="134"/>
      <c r="M26" s="66">
        <f>+M21</f>
        <v>187.85</v>
      </c>
      <c r="N26" s="65" t="s">
        <v>347</v>
      </c>
      <c r="O26" s="60"/>
    </row>
    <row r="27" spans="1:15" x14ac:dyDescent="0.25">
      <c r="K27" s="134" t="s">
        <v>369</v>
      </c>
      <c r="L27" s="134"/>
      <c r="M27" s="65">
        <v>53</v>
      </c>
      <c r="N27" s="65" t="s">
        <v>347</v>
      </c>
      <c r="O27" s="60"/>
    </row>
    <row r="28" spans="1:15" x14ac:dyDescent="0.25">
      <c r="K28" s="131" t="s">
        <v>370</v>
      </c>
      <c r="L28" s="132"/>
      <c r="M28" s="65">
        <v>20</v>
      </c>
      <c r="N28" s="65" t="s">
        <v>347</v>
      </c>
      <c r="O28" s="60"/>
    </row>
    <row r="29" spans="1:15" ht="13.8" x14ac:dyDescent="0.3">
      <c r="K29" s="133" t="s">
        <v>342</v>
      </c>
      <c r="L29" s="133"/>
      <c r="M29" s="69">
        <f>SUM(M25:M28)</f>
        <v>500.85</v>
      </c>
      <c r="N29" s="69" t="s">
        <v>347</v>
      </c>
      <c r="O29" s="60"/>
    </row>
  </sheetData>
  <mergeCells count="34">
    <mergeCell ref="G3:I3"/>
    <mergeCell ref="A4:E4"/>
    <mergeCell ref="K4:O4"/>
    <mergeCell ref="M11:N11"/>
    <mergeCell ref="C8:D8"/>
    <mergeCell ref="A10:D10"/>
    <mergeCell ref="K15:L15"/>
    <mergeCell ref="A11:B11"/>
    <mergeCell ref="K16:L16"/>
    <mergeCell ref="A12:B12"/>
    <mergeCell ref="K13:N13"/>
    <mergeCell ref="A13:B13"/>
    <mergeCell ref="K18:L18"/>
    <mergeCell ref="A14:B14"/>
    <mergeCell ref="K19:L19"/>
    <mergeCell ref="A15:B15"/>
    <mergeCell ref="K14:N14"/>
    <mergeCell ref="K17:L17"/>
    <mergeCell ref="A16:B16"/>
    <mergeCell ref="K21:L21"/>
    <mergeCell ref="A17:B17"/>
    <mergeCell ref="K24:N24"/>
    <mergeCell ref="A20:D20"/>
    <mergeCell ref="K20:L20"/>
    <mergeCell ref="A24:B24"/>
    <mergeCell ref="K29:L29"/>
    <mergeCell ref="A25:B25"/>
    <mergeCell ref="A21:B21"/>
    <mergeCell ref="K26:L26"/>
    <mergeCell ref="A22:B22"/>
    <mergeCell ref="K27:L27"/>
    <mergeCell ref="A23:B23"/>
    <mergeCell ref="K28:L28"/>
    <mergeCell ref="K25:L2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A95B6-E07D-4443-AE6E-D7767D6C9E2C}">
  <dimension ref="A2:G42"/>
  <sheetViews>
    <sheetView topLeftCell="A8" zoomScale="110" zoomScaleNormal="110" workbookViewId="0">
      <selection activeCell="B29" sqref="B29"/>
    </sheetView>
  </sheetViews>
  <sheetFormatPr baseColWidth="10" defaultRowHeight="11.4" x14ac:dyDescent="0.2"/>
  <cols>
    <col min="1" max="1" width="51.88671875" style="73" customWidth="1"/>
    <col min="2" max="2" width="7.109375" style="79" customWidth="1"/>
    <col min="3" max="3" width="12.6640625" style="79" customWidth="1"/>
    <col min="4" max="4" width="8" style="79" customWidth="1"/>
    <col min="5" max="5" width="8.109375" style="79" customWidth="1"/>
    <col min="6" max="6" width="9" style="79" customWidth="1"/>
    <col min="7" max="256" width="11.5546875" style="73"/>
    <col min="257" max="257" width="51.88671875" style="73" customWidth="1"/>
    <col min="258" max="258" width="7.109375" style="73" customWidth="1"/>
    <col min="259" max="259" width="12.6640625" style="73" customWidth="1"/>
    <col min="260" max="260" width="8" style="73" customWidth="1"/>
    <col min="261" max="261" width="8.109375" style="73" customWidth="1"/>
    <col min="262" max="262" width="9" style="73" customWidth="1"/>
    <col min="263" max="512" width="11.5546875" style="73"/>
    <col min="513" max="513" width="51.88671875" style="73" customWidth="1"/>
    <col min="514" max="514" width="7.109375" style="73" customWidth="1"/>
    <col min="515" max="515" width="12.6640625" style="73" customWidth="1"/>
    <col min="516" max="516" width="8" style="73" customWidth="1"/>
    <col min="517" max="517" width="8.109375" style="73" customWidth="1"/>
    <col min="518" max="518" width="9" style="73" customWidth="1"/>
    <col min="519" max="768" width="11.5546875" style="73"/>
    <col min="769" max="769" width="51.88671875" style="73" customWidth="1"/>
    <col min="770" max="770" width="7.109375" style="73" customWidth="1"/>
    <col min="771" max="771" width="12.6640625" style="73" customWidth="1"/>
    <col min="772" max="772" width="8" style="73" customWidth="1"/>
    <col min="773" max="773" width="8.109375" style="73" customWidth="1"/>
    <col min="774" max="774" width="9" style="73" customWidth="1"/>
    <col min="775" max="1024" width="11.5546875" style="73"/>
    <col min="1025" max="1025" width="51.88671875" style="73" customWidth="1"/>
    <col min="1026" max="1026" width="7.109375" style="73" customWidth="1"/>
    <col min="1027" max="1027" width="12.6640625" style="73" customWidth="1"/>
    <col min="1028" max="1028" width="8" style="73" customWidth="1"/>
    <col min="1029" max="1029" width="8.109375" style="73" customWidth="1"/>
    <col min="1030" max="1030" width="9" style="73" customWidth="1"/>
    <col min="1031" max="1280" width="11.5546875" style="73"/>
    <col min="1281" max="1281" width="51.88671875" style="73" customWidth="1"/>
    <col min="1282" max="1282" width="7.109375" style="73" customWidth="1"/>
    <col min="1283" max="1283" width="12.6640625" style="73" customWidth="1"/>
    <col min="1284" max="1284" width="8" style="73" customWidth="1"/>
    <col min="1285" max="1285" width="8.109375" style="73" customWidth="1"/>
    <col min="1286" max="1286" width="9" style="73" customWidth="1"/>
    <col min="1287" max="1536" width="11.5546875" style="73"/>
    <col min="1537" max="1537" width="51.88671875" style="73" customWidth="1"/>
    <col min="1538" max="1538" width="7.109375" style="73" customWidth="1"/>
    <col min="1539" max="1539" width="12.6640625" style="73" customWidth="1"/>
    <col min="1540" max="1540" width="8" style="73" customWidth="1"/>
    <col min="1541" max="1541" width="8.109375" style="73" customWidth="1"/>
    <col min="1542" max="1542" width="9" style="73" customWidth="1"/>
    <col min="1543" max="1792" width="11.5546875" style="73"/>
    <col min="1793" max="1793" width="51.88671875" style="73" customWidth="1"/>
    <col min="1794" max="1794" width="7.109375" style="73" customWidth="1"/>
    <col min="1795" max="1795" width="12.6640625" style="73" customWidth="1"/>
    <col min="1796" max="1796" width="8" style="73" customWidth="1"/>
    <col min="1797" max="1797" width="8.109375" style="73" customWidth="1"/>
    <col min="1798" max="1798" width="9" style="73" customWidth="1"/>
    <col min="1799" max="2048" width="11.5546875" style="73"/>
    <col min="2049" max="2049" width="51.88671875" style="73" customWidth="1"/>
    <col min="2050" max="2050" width="7.109375" style="73" customWidth="1"/>
    <col min="2051" max="2051" width="12.6640625" style="73" customWidth="1"/>
    <col min="2052" max="2052" width="8" style="73" customWidth="1"/>
    <col min="2053" max="2053" width="8.109375" style="73" customWidth="1"/>
    <col min="2054" max="2054" width="9" style="73" customWidth="1"/>
    <col min="2055" max="2304" width="11.5546875" style="73"/>
    <col min="2305" max="2305" width="51.88671875" style="73" customWidth="1"/>
    <col min="2306" max="2306" width="7.109375" style="73" customWidth="1"/>
    <col min="2307" max="2307" width="12.6640625" style="73" customWidth="1"/>
    <col min="2308" max="2308" width="8" style="73" customWidth="1"/>
    <col min="2309" max="2309" width="8.109375" style="73" customWidth="1"/>
    <col min="2310" max="2310" width="9" style="73" customWidth="1"/>
    <col min="2311" max="2560" width="11.5546875" style="73"/>
    <col min="2561" max="2561" width="51.88671875" style="73" customWidth="1"/>
    <col min="2562" max="2562" width="7.109375" style="73" customWidth="1"/>
    <col min="2563" max="2563" width="12.6640625" style="73" customWidth="1"/>
    <col min="2564" max="2564" width="8" style="73" customWidth="1"/>
    <col min="2565" max="2565" width="8.109375" style="73" customWidth="1"/>
    <col min="2566" max="2566" width="9" style="73" customWidth="1"/>
    <col min="2567" max="2816" width="11.5546875" style="73"/>
    <col min="2817" max="2817" width="51.88671875" style="73" customWidth="1"/>
    <col min="2818" max="2818" width="7.109375" style="73" customWidth="1"/>
    <col min="2819" max="2819" width="12.6640625" style="73" customWidth="1"/>
    <col min="2820" max="2820" width="8" style="73" customWidth="1"/>
    <col min="2821" max="2821" width="8.109375" style="73" customWidth="1"/>
    <col min="2822" max="2822" width="9" style="73" customWidth="1"/>
    <col min="2823" max="3072" width="11.5546875" style="73"/>
    <col min="3073" max="3073" width="51.88671875" style="73" customWidth="1"/>
    <col min="3074" max="3074" width="7.109375" style="73" customWidth="1"/>
    <col min="3075" max="3075" width="12.6640625" style="73" customWidth="1"/>
    <col min="3076" max="3076" width="8" style="73" customWidth="1"/>
    <col min="3077" max="3077" width="8.109375" style="73" customWidth="1"/>
    <col min="3078" max="3078" width="9" style="73" customWidth="1"/>
    <col min="3079" max="3328" width="11.5546875" style="73"/>
    <col min="3329" max="3329" width="51.88671875" style="73" customWidth="1"/>
    <col min="3330" max="3330" width="7.109375" style="73" customWidth="1"/>
    <col min="3331" max="3331" width="12.6640625" style="73" customWidth="1"/>
    <col min="3332" max="3332" width="8" style="73" customWidth="1"/>
    <col min="3333" max="3333" width="8.109375" style="73" customWidth="1"/>
    <col min="3334" max="3334" width="9" style="73" customWidth="1"/>
    <col min="3335" max="3584" width="11.5546875" style="73"/>
    <col min="3585" max="3585" width="51.88671875" style="73" customWidth="1"/>
    <col min="3586" max="3586" width="7.109375" style="73" customWidth="1"/>
    <col min="3587" max="3587" width="12.6640625" style="73" customWidth="1"/>
    <col min="3588" max="3588" width="8" style="73" customWidth="1"/>
    <col min="3589" max="3589" width="8.109375" style="73" customWidth="1"/>
    <col min="3590" max="3590" width="9" style="73" customWidth="1"/>
    <col min="3591" max="3840" width="11.5546875" style="73"/>
    <col min="3841" max="3841" width="51.88671875" style="73" customWidth="1"/>
    <col min="3842" max="3842" width="7.109375" style="73" customWidth="1"/>
    <col min="3843" max="3843" width="12.6640625" style="73" customWidth="1"/>
    <col min="3844" max="3844" width="8" style="73" customWidth="1"/>
    <col min="3845" max="3845" width="8.109375" style="73" customWidth="1"/>
    <col min="3846" max="3846" width="9" style="73" customWidth="1"/>
    <col min="3847" max="4096" width="11.5546875" style="73"/>
    <col min="4097" max="4097" width="51.88671875" style="73" customWidth="1"/>
    <col min="4098" max="4098" width="7.109375" style="73" customWidth="1"/>
    <col min="4099" max="4099" width="12.6640625" style="73" customWidth="1"/>
    <col min="4100" max="4100" width="8" style="73" customWidth="1"/>
    <col min="4101" max="4101" width="8.109375" style="73" customWidth="1"/>
    <col min="4102" max="4102" width="9" style="73" customWidth="1"/>
    <col min="4103" max="4352" width="11.5546875" style="73"/>
    <col min="4353" max="4353" width="51.88671875" style="73" customWidth="1"/>
    <col min="4354" max="4354" width="7.109375" style="73" customWidth="1"/>
    <col min="4355" max="4355" width="12.6640625" style="73" customWidth="1"/>
    <col min="4356" max="4356" width="8" style="73" customWidth="1"/>
    <col min="4357" max="4357" width="8.109375" style="73" customWidth="1"/>
    <col min="4358" max="4358" width="9" style="73" customWidth="1"/>
    <col min="4359" max="4608" width="11.5546875" style="73"/>
    <col min="4609" max="4609" width="51.88671875" style="73" customWidth="1"/>
    <col min="4610" max="4610" width="7.109375" style="73" customWidth="1"/>
    <col min="4611" max="4611" width="12.6640625" style="73" customWidth="1"/>
    <col min="4612" max="4612" width="8" style="73" customWidth="1"/>
    <col min="4613" max="4613" width="8.109375" style="73" customWidth="1"/>
    <col min="4614" max="4614" width="9" style="73" customWidth="1"/>
    <col min="4615" max="4864" width="11.5546875" style="73"/>
    <col min="4865" max="4865" width="51.88671875" style="73" customWidth="1"/>
    <col min="4866" max="4866" width="7.109375" style="73" customWidth="1"/>
    <col min="4867" max="4867" width="12.6640625" style="73" customWidth="1"/>
    <col min="4868" max="4868" width="8" style="73" customWidth="1"/>
    <col min="4869" max="4869" width="8.109375" style="73" customWidth="1"/>
    <col min="4870" max="4870" width="9" style="73" customWidth="1"/>
    <col min="4871" max="5120" width="11.5546875" style="73"/>
    <col min="5121" max="5121" width="51.88671875" style="73" customWidth="1"/>
    <col min="5122" max="5122" width="7.109375" style="73" customWidth="1"/>
    <col min="5123" max="5123" width="12.6640625" style="73" customWidth="1"/>
    <col min="5124" max="5124" width="8" style="73" customWidth="1"/>
    <col min="5125" max="5125" width="8.109375" style="73" customWidth="1"/>
    <col min="5126" max="5126" width="9" style="73" customWidth="1"/>
    <col min="5127" max="5376" width="11.5546875" style="73"/>
    <col min="5377" max="5377" width="51.88671875" style="73" customWidth="1"/>
    <col min="5378" max="5378" width="7.109375" style="73" customWidth="1"/>
    <col min="5379" max="5379" width="12.6640625" style="73" customWidth="1"/>
    <col min="5380" max="5380" width="8" style="73" customWidth="1"/>
    <col min="5381" max="5381" width="8.109375" style="73" customWidth="1"/>
    <col min="5382" max="5382" width="9" style="73" customWidth="1"/>
    <col min="5383" max="5632" width="11.5546875" style="73"/>
    <col min="5633" max="5633" width="51.88671875" style="73" customWidth="1"/>
    <col min="5634" max="5634" width="7.109375" style="73" customWidth="1"/>
    <col min="5635" max="5635" width="12.6640625" style="73" customWidth="1"/>
    <col min="5636" max="5636" width="8" style="73" customWidth="1"/>
    <col min="5637" max="5637" width="8.109375" style="73" customWidth="1"/>
    <col min="5638" max="5638" width="9" style="73" customWidth="1"/>
    <col min="5639" max="5888" width="11.5546875" style="73"/>
    <col min="5889" max="5889" width="51.88671875" style="73" customWidth="1"/>
    <col min="5890" max="5890" width="7.109375" style="73" customWidth="1"/>
    <col min="5891" max="5891" width="12.6640625" style="73" customWidth="1"/>
    <col min="5892" max="5892" width="8" style="73" customWidth="1"/>
    <col min="5893" max="5893" width="8.109375" style="73" customWidth="1"/>
    <col min="5894" max="5894" width="9" style="73" customWidth="1"/>
    <col min="5895" max="6144" width="11.5546875" style="73"/>
    <col min="6145" max="6145" width="51.88671875" style="73" customWidth="1"/>
    <col min="6146" max="6146" width="7.109375" style="73" customWidth="1"/>
    <col min="6147" max="6147" width="12.6640625" style="73" customWidth="1"/>
    <col min="6148" max="6148" width="8" style="73" customWidth="1"/>
    <col min="6149" max="6149" width="8.109375" style="73" customWidth="1"/>
    <col min="6150" max="6150" width="9" style="73" customWidth="1"/>
    <col min="6151" max="6400" width="11.5546875" style="73"/>
    <col min="6401" max="6401" width="51.88671875" style="73" customWidth="1"/>
    <col min="6402" max="6402" width="7.109375" style="73" customWidth="1"/>
    <col min="6403" max="6403" width="12.6640625" style="73" customWidth="1"/>
    <col min="6404" max="6404" width="8" style="73" customWidth="1"/>
    <col min="6405" max="6405" width="8.109375" style="73" customWidth="1"/>
    <col min="6406" max="6406" width="9" style="73" customWidth="1"/>
    <col min="6407" max="6656" width="11.5546875" style="73"/>
    <col min="6657" max="6657" width="51.88671875" style="73" customWidth="1"/>
    <col min="6658" max="6658" width="7.109375" style="73" customWidth="1"/>
    <col min="6659" max="6659" width="12.6640625" style="73" customWidth="1"/>
    <col min="6660" max="6660" width="8" style="73" customWidth="1"/>
    <col min="6661" max="6661" width="8.109375" style="73" customWidth="1"/>
    <col min="6662" max="6662" width="9" style="73" customWidth="1"/>
    <col min="6663" max="6912" width="11.5546875" style="73"/>
    <col min="6913" max="6913" width="51.88671875" style="73" customWidth="1"/>
    <col min="6914" max="6914" width="7.109375" style="73" customWidth="1"/>
    <col min="6915" max="6915" width="12.6640625" style="73" customWidth="1"/>
    <col min="6916" max="6916" width="8" style="73" customWidth="1"/>
    <col min="6917" max="6917" width="8.109375" style="73" customWidth="1"/>
    <col min="6918" max="6918" width="9" style="73" customWidth="1"/>
    <col min="6919" max="7168" width="11.5546875" style="73"/>
    <col min="7169" max="7169" width="51.88671875" style="73" customWidth="1"/>
    <col min="7170" max="7170" width="7.109375" style="73" customWidth="1"/>
    <col min="7171" max="7171" width="12.6640625" style="73" customWidth="1"/>
    <col min="7172" max="7172" width="8" style="73" customWidth="1"/>
    <col min="7173" max="7173" width="8.109375" style="73" customWidth="1"/>
    <col min="7174" max="7174" width="9" style="73" customWidth="1"/>
    <col min="7175" max="7424" width="11.5546875" style="73"/>
    <col min="7425" max="7425" width="51.88671875" style="73" customWidth="1"/>
    <col min="7426" max="7426" width="7.109375" style="73" customWidth="1"/>
    <col min="7427" max="7427" width="12.6640625" style="73" customWidth="1"/>
    <col min="7428" max="7428" width="8" style="73" customWidth="1"/>
    <col min="7429" max="7429" width="8.109375" style="73" customWidth="1"/>
    <col min="7430" max="7430" width="9" style="73" customWidth="1"/>
    <col min="7431" max="7680" width="11.5546875" style="73"/>
    <col min="7681" max="7681" width="51.88671875" style="73" customWidth="1"/>
    <col min="7682" max="7682" width="7.109375" style="73" customWidth="1"/>
    <col min="7683" max="7683" width="12.6640625" style="73" customWidth="1"/>
    <col min="7684" max="7684" width="8" style="73" customWidth="1"/>
    <col min="7685" max="7685" width="8.109375" style="73" customWidth="1"/>
    <col min="7686" max="7686" width="9" style="73" customWidth="1"/>
    <col min="7687" max="7936" width="11.5546875" style="73"/>
    <col min="7937" max="7937" width="51.88671875" style="73" customWidth="1"/>
    <col min="7938" max="7938" width="7.109375" style="73" customWidth="1"/>
    <col min="7939" max="7939" width="12.6640625" style="73" customWidth="1"/>
    <col min="7940" max="7940" width="8" style="73" customWidth="1"/>
    <col min="7941" max="7941" width="8.109375" style="73" customWidth="1"/>
    <col min="7942" max="7942" width="9" style="73" customWidth="1"/>
    <col min="7943" max="8192" width="11.5546875" style="73"/>
    <col min="8193" max="8193" width="51.88671875" style="73" customWidth="1"/>
    <col min="8194" max="8194" width="7.109375" style="73" customWidth="1"/>
    <col min="8195" max="8195" width="12.6640625" style="73" customWidth="1"/>
    <col min="8196" max="8196" width="8" style="73" customWidth="1"/>
    <col min="8197" max="8197" width="8.109375" style="73" customWidth="1"/>
    <col min="8198" max="8198" width="9" style="73" customWidth="1"/>
    <col min="8199" max="8448" width="11.5546875" style="73"/>
    <col min="8449" max="8449" width="51.88671875" style="73" customWidth="1"/>
    <col min="8450" max="8450" width="7.109375" style="73" customWidth="1"/>
    <col min="8451" max="8451" width="12.6640625" style="73" customWidth="1"/>
    <col min="8452" max="8452" width="8" style="73" customWidth="1"/>
    <col min="8453" max="8453" width="8.109375" style="73" customWidth="1"/>
    <col min="8454" max="8454" width="9" style="73" customWidth="1"/>
    <col min="8455" max="8704" width="11.5546875" style="73"/>
    <col min="8705" max="8705" width="51.88671875" style="73" customWidth="1"/>
    <col min="8706" max="8706" width="7.109375" style="73" customWidth="1"/>
    <col min="8707" max="8707" width="12.6640625" style="73" customWidth="1"/>
    <col min="8708" max="8708" width="8" style="73" customWidth="1"/>
    <col min="8709" max="8709" width="8.109375" style="73" customWidth="1"/>
    <col min="8710" max="8710" width="9" style="73" customWidth="1"/>
    <col min="8711" max="8960" width="11.5546875" style="73"/>
    <col min="8961" max="8961" width="51.88671875" style="73" customWidth="1"/>
    <col min="8962" max="8962" width="7.109375" style="73" customWidth="1"/>
    <col min="8963" max="8963" width="12.6640625" style="73" customWidth="1"/>
    <col min="8964" max="8964" width="8" style="73" customWidth="1"/>
    <col min="8965" max="8965" width="8.109375" style="73" customWidth="1"/>
    <col min="8966" max="8966" width="9" style="73" customWidth="1"/>
    <col min="8967" max="9216" width="11.5546875" style="73"/>
    <col min="9217" max="9217" width="51.88671875" style="73" customWidth="1"/>
    <col min="9218" max="9218" width="7.109375" style="73" customWidth="1"/>
    <col min="9219" max="9219" width="12.6640625" style="73" customWidth="1"/>
    <col min="9220" max="9220" width="8" style="73" customWidth="1"/>
    <col min="9221" max="9221" width="8.109375" style="73" customWidth="1"/>
    <col min="9222" max="9222" width="9" style="73" customWidth="1"/>
    <col min="9223" max="9472" width="11.5546875" style="73"/>
    <col min="9473" max="9473" width="51.88671875" style="73" customWidth="1"/>
    <col min="9474" max="9474" width="7.109375" style="73" customWidth="1"/>
    <col min="9475" max="9475" width="12.6640625" style="73" customWidth="1"/>
    <col min="9476" max="9476" width="8" style="73" customWidth="1"/>
    <col min="9477" max="9477" width="8.109375" style="73" customWidth="1"/>
    <col min="9478" max="9478" width="9" style="73" customWidth="1"/>
    <col min="9479" max="9728" width="11.5546875" style="73"/>
    <col min="9729" max="9729" width="51.88671875" style="73" customWidth="1"/>
    <col min="9730" max="9730" width="7.109375" style="73" customWidth="1"/>
    <col min="9731" max="9731" width="12.6640625" style="73" customWidth="1"/>
    <col min="9732" max="9732" width="8" style="73" customWidth="1"/>
    <col min="9733" max="9733" width="8.109375" style="73" customWidth="1"/>
    <col min="9734" max="9734" width="9" style="73" customWidth="1"/>
    <col min="9735" max="9984" width="11.5546875" style="73"/>
    <col min="9985" max="9985" width="51.88671875" style="73" customWidth="1"/>
    <col min="9986" max="9986" width="7.109375" style="73" customWidth="1"/>
    <col min="9987" max="9987" width="12.6640625" style="73" customWidth="1"/>
    <col min="9988" max="9988" width="8" style="73" customWidth="1"/>
    <col min="9989" max="9989" width="8.109375" style="73" customWidth="1"/>
    <col min="9990" max="9990" width="9" style="73" customWidth="1"/>
    <col min="9991" max="10240" width="11.5546875" style="73"/>
    <col min="10241" max="10241" width="51.88671875" style="73" customWidth="1"/>
    <col min="10242" max="10242" width="7.109375" style="73" customWidth="1"/>
    <col min="10243" max="10243" width="12.6640625" style="73" customWidth="1"/>
    <col min="10244" max="10244" width="8" style="73" customWidth="1"/>
    <col min="10245" max="10245" width="8.109375" style="73" customWidth="1"/>
    <col min="10246" max="10246" width="9" style="73" customWidth="1"/>
    <col min="10247" max="10496" width="11.5546875" style="73"/>
    <col min="10497" max="10497" width="51.88671875" style="73" customWidth="1"/>
    <col min="10498" max="10498" width="7.109375" style="73" customWidth="1"/>
    <col min="10499" max="10499" width="12.6640625" style="73" customWidth="1"/>
    <col min="10500" max="10500" width="8" style="73" customWidth="1"/>
    <col min="10501" max="10501" width="8.109375" style="73" customWidth="1"/>
    <col min="10502" max="10502" width="9" style="73" customWidth="1"/>
    <col min="10503" max="10752" width="11.5546875" style="73"/>
    <col min="10753" max="10753" width="51.88671875" style="73" customWidth="1"/>
    <col min="10754" max="10754" width="7.109375" style="73" customWidth="1"/>
    <col min="10755" max="10755" width="12.6640625" style="73" customWidth="1"/>
    <col min="10756" max="10756" width="8" style="73" customWidth="1"/>
    <col min="10757" max="10757" width="8.109375" style="73" customWidth="1"/>
    <col min="10758" max="10758" width="9" style="73" customWidth="1"/>
    <col min="10759" max="11008" width="11.5546875" style="73"/>
    <col min="11009" max="11009" width="51.88671875" style="73" customWidth="1"/>
    <col min="11010" max="11010" width="7.109375" style="73" customWidth="1"/>
    <col min="11011" max="11011" width="12.6640625" style="73" customWidth="1"/>
    <col min="11012" max="11012" width="8" style="73" customWidth="1"/>
    <col min="11013" max="11013" width="8.109375" style="73" customWidth="1"/>
    <col min="11014" max="11014" width="9" style="73" customWidth="1"/>
    <col min="11015" max="11264" width="11.5546875" style="73"/>
    <col min="11265" max="11265" width="51.88671875" style="73" customWidth="1"/>
    <col min="11266" max="11266" width="7.109375" style="73" customWidth="1"/>
    <col min="11267" max="11267" width="12.6640625" style="73" customWidth="1"/>
    <col min="11268" max="11268" width="8" style="73" customWidth="1"/>
    <col min="11269" max="11269" width="8.109375" style="73" customWidth="1"/>
    <col min="11270" max="11270" width="9" style="73" customWidth="1"/>
    <col min="11271" max="11520" width="11.5546875" style="73"/>
    <col min="11521" max="11521" width="51.88671875" style="73" customWidth="1"/>
    <col min="11522" max="11522" width="7.109375" style="73" customWidth="1"/>
    <col min="11523" max="11523" width="12.6640625" style="73" customWidth="1"/>
    <col min="11524" max="11524" width="8" style="73" customWidth="1"/>
    <col min="11525" max="11525" width="8.109375" style="73" customWidth="1"/>
    <col min="11526" max="11526" width="9" style="73" customWidth="1"/>
    <col min="11527" max="11776" width="11.5546875" style="73"/>
    <col min="11777" max="11777" width="51.88671875" style="73" customWidth="1"/>
    <col min="11778" max="11778" width="7.109375" style="73" customWidth="1"/>
    <col min="11779" max="11779" width="12.6640625" style="73" customWidth="1"/>
    <col min="11780" max="11780" width="8" style="73" customWidth="1"/>
    <col min="11781" max="11781" width="8.109375" style="73" customWidth="1"/>
    <col min="11782" max="11782" width="9" style="73" customWidth="1"/>
    <col min="11783" max="12032" width="11.5546875" style="73"/>
    <col min="12033" max="12033" width="51.88671875" style="73" customWidth="1"/>
    <col min="12034" max="12034" width="7.109375" style="73" customWidth="1"/>
    <col min="12035" max="12035" width="12.6640625" style="73" customWidth="1"/>
    <col min="12036" max="12036" width="8" style="73" customWidth="1"/>
    <col min="12037" max="12037" width="8.109375" style="73" customWidth="1"/>
    <col min="12038" max="12038" width="9" style="73" customWidth="1"/>
    <col min="12039" max="12288" width="11.5546875" style="73"/>
    <col min="12289" max="12289" width="51.88671875" style="73" customWidth="1"/>
    <col min="12290" max="12290" width="7.109375" style="73" customWidth="1"/>
    <col min="12291" max="12291" width="12.6640625" style="73" customWidth="1"/>
    <col min="12292" max="12292" width="8" style="73" customWidth="1"/>
    <col min="12293" max="12293" width="8.109375" style="73" customWidth="1"/>
    <col min="12294" max="12294" width="9" style="73" customWidth="1"/>
    <col min="12295" max="12544" width="11.5546875" style="73"/>
    <col min="12545" max="12545" width="51.88671875" style="73" customWidth="1"/>
    <col min="12546" max="12546" width="7.109375" style="73" customWidth="1"/>
    <col min="12547" max="12547" width="12.6640625" style="73" customWidth="1"/>
    <col min="12548" max="12548" width="8" style="73" customWidth="1"/>
    <col min="12549" max="12549" width="8.109375" style="73" customWidth="1"/>
    <col min="12550" max="12550" width="9" style="73" customWidth="1"/>
    <col min="12551" max="12800" width="11.5546875" style="73"/>
    <col min="12801" max="12801" width="51.88671875" style="73" customWidth="1"/>
    <col min="12802" max="12802" width="7.109375" style="73" customWidth="1"/>
    <col min="12803" max="12803" width="12.6640625" style="73" customWidth="1"/>
    <col min="12804" max="12804" width="8" style="73" customWidth="1"/>
    <col min="12805" max="12805" width="8.109375" style="73" customWidth="1"/>
    <col min="12806" max="12806" width="9" style="73" customWidth="1"/>
    <col min="12807" max="13056" width="11.5546875" style="73"/>
    <col min="13057" max="13057" width="51.88671875" style="73" customWidth="1"/>
    <col min="13058" max="13058" width="7.109375" style="73" customWidth="1"/>
    <col min="13059" max="13059" width="12.6640625" style="73" customWidth="1"/>
    <col min="13060" max="13060" width="8" style="73" customWidth="1"/>
    <col min="13061" max="13061" width="8.109375" style="73" customWidth="1"/>
    <col min="13062" max="13062" width="9" style="73" customWidth="1"/>
    <col min="13063" max="13312" width="11.5546875" style="73"/>
    <col min="13313" max="13313" width="51.88671875" style="73" customWidth="1"/>
    <col min="13314" max="13314" width="7.109375" style="73" customWidth="1"/>
    <col min="13315" max="13315" width="12.6640625" style="73" customWidth="1"/>
    <col min="13316" max="13316" width="8" style="73" customWidth="1"/>
    <col min="13317" max="13317" width="8.109375" style="73" customWidth="1"/>
    <col min="13318" max="13318" width="9" style="73" customWidth="1"/>
    <col min="13319" max="13568" width="11.5546875" style="73"/>
    <col min="13569" max="13569" width="51.88671875" style="73" customWidth="1"/>
    <col min="13570" max="13570" width="7.109375" style="73" customWidth="1"/>
    <col min="13571" max="13571" width="12.6640625" style="73" customWidth="1"/>
    <col min="13572" max="13572" width="8" style="73" customWidth="1"/>
    <col min="13573" max="13573" width="8.109375" style="73" customWidth="1"/>
    <col min="13574" max="13574" width="9" style="73" customWidth="1"/>
    <col min="13575" max="13824" width="11.5546875" style="73"/>
    <col min="13825" max="13825" width="51.88671875" style="73" customWidth="1"/>
    <col min="13826" max="13826" width="7.109375" style="73" customWidth="1"/>
    <col min="13827" max="13827" width="12.6640625" style="73" customWidth="1"/>
    <col min="13828" max="13828" width="8" style="73" customWidth="1"/>
    <col min="13829" max="13829" width="8.109375" style="73" customWidth="1"/>
    <col min="13830" max="13830" width="9" style="73" customWidth="1"/>
    <col min="13831" max="14080" width="11.5546875" style="73"/>
    <col min="14081" max="14081" width="51.88671875" style="73" customWidth="1"/>
    <col min="14082" max="14082" width="7.109375" style="73" customWidth="1"/>
    <col min="14083" max="14083" width="12.6640625" style="73" customWidth="1"/>
    <col min="14084" max="14084" width="8" style="73" customWidth="1"/>
    <col min="14085" max="14085" width="8.109375" style="73" customWidth="1"/>
    <col min="14086" max="14086" width="9" style="73" customWidth="1"/>
    <col min="14087" max="14336" width="11.5546875" style="73"/>
    <col min="14337" max="14337" width="51.88671875" style="73" customWidth="1"/>
    <col min="14338" max="14338" width="7.109375" style="73" customWidth="1"/>
    <col min="14339" max="14339" width="12.6640625" style="73" customWidth="1"/>
    <col min="14340" max="14340" width="8" style="73" customWidth="1"/>
    <col min="14341" max="14341" width="8.109375" style="73" customWidth="1"/>
    <col min="14342" max="14342" width="9" style="73" customWidth="1"/>
    <col min="14343" max="14592" width="11.5546875" style="73"/>
    <col min="14593" max="14593" width="51.88671875" style="73" customWidth="1"/>
    <col min="14594" max="14594" width="7.109375" style="73" customWidth="1"/>
    <col min="14595" max="14595" width="12.6640625" style="73" customWidth="1"/>
    <col min="14596" max="14596" width="8" style="73" customWidth="1"/>
    <col min="14597" max="14597" width="8.109375" style="73" customWidth="1"/>
    <col min="14598" max="14598" width="9" style="73" customWidth="1"/>
    <col min="14599" max="14848" width="11.5546875" style="73"/>
    <col min="14849" max="14849" width="51.88671875" style="73" customWidth="1"/>
    <col min="14850" max="14850" width="7.109375" style="73" customWidth="1"/>
    <col min="14851" max="14851" width="12.6640625" style="73" customWidth="1"/>
    <col min="14852" max="14852" width="8" style="73" customWidth="1"/>
    <col min="14853" max="14853" width="8.109375" style="73" customWidth="1"/>
    <col min="14854" max="14854" width="9" style="73" customWidth="1"/>
    <col min="14855" max="15104" width="11.5546875" style="73"/>
    <col min="15105" max="15105" width="51.88671875" style="73" customWidth="1"/>
    <col min="15106" max="15106" width="7.109375" style="73" customWidth="1"/>
    <col min="15107" max="15107" width="12.6640625" style="73" customWidth="1"/>
    <col min="15108" max="15108" width="8" style="73" customWidth="1"/>
    <col min="15109" max="15109" width="8.109375" style="73" customWidth="1"/>
    <col min="15110" max="15110" width="9" style="73" customWidth="1"/>
    <col min="15111" max="15360" width="11.5546875" style="73"/>
    <col min="15361" max="15361" width="51.88671875" style="73" customWidth="1"/>
    <col min="15362" max="15362" width="7.109375" style="73" customWidth="1"/>
    <col min="15363" max="15363" width="12.6640625" style="73" customWidth="1"/>
    <col min="15364" max="15364" width="8" style="73" customWidth="1"/>
    <col min="15365" max="15365" width="8.109375" style="73" customWidth="1"/>
    <col min="15366" max="15366" width="9" style="73" customWidth="1"/>
    <col min="15367" max="15616" width="11.5546875" style="73"/>
    <col min="15617" max="15617" width="51.88671875" style="73" customWidth="1"/>
    <col min="15618" max="15618" width="7.109375" style="73" customWidth="1"/>
    <col min="15619" max="15619" width="12.6640625" style="73" customWidth="1"/>
    <col min="15620" max="15620" width="8" style="73" customWidth="1"/>
    <col min="15621" max="15621" width="8.109375" style="73" customWidth="1"/>
    <col min="15622" max="15622" width="9" style="73" customWidth="1"/>
    <col min="15623" max="15872" width="11.5546875" style="73"/>
    <col min="15873" max="15873" width="51.88671875" style="73" customWidth="1"/>
    <col min="15874" max="15874" width="7.109375" style="73" customWidth="1"/>
    <col min="15875" max="15875" width="12.6640625" style="73" customWidth="1"/>
    <col min="15876" max="15876" width="8" style="73" customWidth="1"/>
    <col min="15877" max="15877" width="8.109375" style="73" customWidth="1"/>
    <col min="15878" max="15878" width="9" style="73" customWidth="1"/>
    <col min="15879" max="16128" width="11.5546875" style="73"/>
    <col min="16129" max="16129" width="51.88671875" style="73" customWidth="1"/>
    <col min="16130" max="16130" width="7.109375" style="73" customWidth="1"/>
    <col min="16131" max="16131" width="12.6640625" style="73" customWidth="1"/>
    <col min="16132" max="16132" width="8" style="73" customWidth="1"/>
    <col min="16133" max="16133" width="8.109375" style="73" customWidth="1"/>
    <col min="16134" max="16134" width="9" style="73" customWidth="1"/>
    <col min="16135" max="16384" width="11.5546875" style="73"/>
  </cols>
  <sheetData>
    <row r="2" spans="1:6" ht="12" x14ac:dyDescent="0.25">
      <c r="A2" s="137" t="s">
        <v>373</v>
      </c>
      <c r="B2" s="137"/>
      <c r="C2" s="137"/>
      <c r="D2" s="72" t="s">
        <v>268</v>
      </c>
      <c r="E2" s="72" t="s">
        <v>269</v>
      </c>
      <c r="F2" s="72" t="s">
        <v>374</v>
      </c>
    </row>
    <row r="3" spans="1:6" x14ac:dyDescent="0.2">
      <c r="A3" s="74" t="s">
        <v>375</v>
      </c>
      <c r="B3" s="75" t="s">
        <v>376</v>
      </c>
      <c r="C3" s="75" t="s">
        <v>377</v>
      </c>
      <c r="D3" s="75">
        <v>0</v>
      </c>
      <c r="E3" s="76">
        <f>+IF(D3&lt;$B$11,$B$9*$B$4*$B$6,$B$9*$B$4*$B$6*($B$11/D3)^$B$10)</f>
        <v>1.1903999999999999</v>
      </c>
      <c r="F3" s="77">
        <f>+$B$18*E3/$B$16/$B$17/$B$15</f>
        <v>0.22044444444444442</v>
      </c>
    </row>
    <row r="4" spans="1:6" x14ac:dyDescent="0.2">
      <c r="A4" s="74" t="s">
        <v>378</v>
      </c>
      <c r="B4" s="75">
        <v>0.4</v>
      </c>
      <c r="C4" s="75" t="s">
        <v>377</v>
      </c>
      <c r="D4" s="75">
        <v>0.1</v>
      </c>
      <c r="E4" s="76">
        <f t="shared" ref="E4:E33" si="0">+IF(D4&lt;$B$11,$B$9*$B$4*$B$6,$B$9*$B$4*$B$6*($B$11/D4)^$B$10)</f>
        <v>1.1903999999999999</v>
      </c>
      <c r="F4" s="77">
        <f t="shared" ref="F4:F33" si="1">+$B$18*E4/$B$16/$B$17/$B$15</f>
        <v>0.22044444444444442</v>
      </c>
    </row>
    <row r="5" spans="1:6" x14ac:dyDescent="0.2">
      <c r="A5" s="74" t="s">
        <v>379</v>
      </c>
      <c r="B5" s="75" t="s">
        <v>380</v>
      </c>
      <c r="C5" s="75" t="s">
        <v>381</v>
      </c>
      <c r="D5" s="75">
        <v>0.2</v>
      </c>
      <c r="E5" s="76">
        <f t="shared" si="0"/>
        <v>1.1903999999999999</v>
      </c>
      <c r="F5" s="77">
        <f t="shared" si="1"/>
        <v>0.22044444444444442</v>
      </c>
    </row>
    <row r="6" spans="1:6" ht="12" x14ac:dyDescent="0.2">
      <c r="A6" s="78" t="s">
        <v>382</v>
      </c>
      <c r="B6" s="76">
        <v>1.2</v>
      </c>
      <c r="C6" s="75" t="s">
        <v>383</v>
      </c>
      <c r="D6" s="75">
        <v>0.3</v>
      </c>
      <c r="E6" s="76">
        <f t="shared" si="0"/>
        <v>1.1903999999999999</v>
      </c>
      <c r="F6" s="77">
        <f t="shared" si="1"/>
        <v>0.22044444444444442</v>
      </c>
    </row>
    <row r="7" spans="1:6" ht="23.4" x14ac:dyDescent="0.2">
      <c r="A7" s="78" t="s">
        <v>384</v>
      </c>
      <c r="B7" s="82">
        <v>1.19</v>
      </c>
      <c r="C7" s="75" t="s">
        <v>385</v>
      </c>
      <c r="D7" s="75">
        <v>0.4</v>
      </c>
      <c r="E7" s="76">
        <f t="shared" si="0"/>
        <v>1.1903999999999999</v>
      </c>
      <c r="F7" s="77">
        <f t="shared" si="1"/>
        <v>0.22044444444444442</v>
      </c>
    </row>
    <row r="8" spans="1:6" ht="12" x14ac:dyDescent="0.25">
      <c r="A8" s="74" t="s">
        <v>386</v>
      </c>
      <c r="B8" s="75">
        <v>1.28</v>
      </c>
      <c r="C8" s="75" t="s">
        <v>387</v>
      </c>
      <c r="D8" s="75">
        <v>0.5</v>
      </c>
      <c r="E8" s="76">
        <f t="shared" si="0"/>
        <v>1.1903999999999999</v>
      </c>
      <c r="F8" s="77">
        <f t="shared" si="1"/>
        <v>0.22044444444444442</v>
      </c>
    </row>
    <row r="9" spans="1:6" ht="12" x14ac:dyDescent="0.25">
      <c r="A9" s="74" t="s">
        <v>388</v>
      </c>
      <c r="B9" s="75">
        <v>2.48</v>
      </c>
      <c r="C9" s="75" t="s">
        <v>389</v>
      </c>
      <c r="D9" s="75">
        <v>0.6</v>
      </c>
      <c r="E9" s="76">
        <f t="shared" si="0"/>
        <v>1.1903999999999999</v>
      </c>
      <c r="F9" s="77">
        <f t="shared" si="1"/>
        <v>0.22044444444444442</v>
      </c>
    </row>
    <row r="10" spans="1:6" ht="12" x14ac:dyDescent="0.25">
      <c r="A10" s="74" t="s">
        <v>390</v>
      </c>
      <c r="B10" s="76">
        <v>1</v>
      </c>
      <c r="C10" s="75" t="s">
        <v>389</v>
      </c>
      <c r="D10" s="75">
        <v>0.7</v>
      </c>
      <c r="E10" s="76">
        <f t="shared" si="0"/>
        <v>1.1872256000000001</v>
      </c>
      <c r="F10" s="77">
        <f t="shared" si="1"/>
        <v>0.2198565925925926</v>
      </c>
    </row>
    <row r="11" spans="1:6" ht="12" x14ac:dyDescent="0.25">
      <c r="A11" s="74" t="s">
        <v>391</v>
      </c>
      <c r="B11" s="76">
        <f>0.55*B8*B7/B6</f>
        <v>0.69813333333333338</v>
      </c>
      <c r="C11" s="75" t="s">
        <v>389</v>
      </c>
      <c r="D11" s="75">
        <v>0.8</v>
      </c>
      <c r="E11" s="76">
        <f t="shared" si="0"/>
        <v>1.0388223999999999</v>
      </c>
      <c r="F11" s="77">
        <f t="shared" si="1"/>
        <v>0.1923745185185185</v>
      </c>
    </row>
    <row r="12" spans="1:6" x14ac:dyDescent="0.2">
      <c r="D12" s="75">
        <v>0.9</v>
      </c>
      <c r="E12" s="76">
        <f t="shared" si="0"/>
        <v>0.92339768888888896</v>
      </c>
      <c r="F12" s="77">
        <f t="shared" si="1"/>
        <v>0.1709995720164609</v>
      </c>
    </row>
    <row r="13" spans="1:6" x14ac:dyDescent="0.2">
      <c r="D13" s="75">
        <v>1</v>
      </c>
      <c r="E13" s="76">
        <f t="shared" si="0"/>
        <v>0.83105792000000001</v>
      </c>
      <c r="F13" s="77">
        <f t="shared" si="1"/>
        <v>0.15389961481481482</v>
      </c>
    </row>
    <row r="14" spans="1:6" ht="12" x14ac:dyDescent="0.25">
      <c r="A14" s="137" t="s">
        <v>392</v>
      </c>
      <c r="B14" s="137"/>
      <c r="C14" s="137"/>
      <c r="D14" s="75">
        <v>1.1000000000000001</v>
      </c>
      <c r="E14" s="76">
        <f t="shared" si="0"/>
        <v>0.75550720000000005</v>
      </c>
      <c r="F14" s="77">
        <f t="shared" si="1"/>
        <v>0.13990874074074075</v>
      </c>
    </row>
    <row r="15" spans="1:6" ht="12" x14ac:dyDescent="0.25">
      <c r="A15" s="74" t="s">
        <v>393</v>
      </c>
      <c r="B15" s="75">
        <v>6</v>
      </c>
      <c r="C15" s="75" t="s">
        <v>394</v>
      </c>
      <c r="D15" s="75">
        <v>1.2</v>
      </c>
      <c r="E15" s="76">
        <f t="shared" si="0"/>
        <v>0.69254826666666669</v>
      </c>
      <c r="F15" s="77">
        <f t="shared" si="1"/>
        <v>0.12824967901234569</v>
      </c>
    </row>
    <row r="16" spans="1:6" ht="12" x14ac:dyDescent="0.25">
      <c r="A16" s="80" t="s">
        <v>395</v>
      </c>
      <c r="B16" s="75">
        <v>0.9</v>
      </c>
      <c r="C16" s="75" t="s">
        <v>394</v>
      </c>
      <c r="D16" s="75">
        <v>1.3</v>
      </c>
      <c r="E16" s="76">
        <f t="shared" si="0"/>
        <v>0.63927532307692314</v>
      </c>
      <c r="F16" s="77">
        <f t="shared" si="1"/>
        <v>0.11838431908831909</v>
      </c>
    </row>
    <row r="17" spans="1:6" ht="12" x14ac:dyDescent="0.25">
      <c r="A17" s="80" t="s">
        <v>396</v>
      </c>
      <c r="B17" s="75">
        <v>1</v>
      </c>
      <c r="C17" s="75" t="s">
        <v>394</v>
      </c>
      <c r="D17" s="75">
        <v>1.4</v>
      </c>
      <c r="E17" s="76">
        <f t="shared" si="0"/>
        <v>0.59361280000000005</v>
      </c>
      <c r="F17" s="77">
        <f t="shared" si="1"/>
        <v>0.1099282962962963</v>
      </c>
    </row>
    <row r="18" spans="1:6" ht="12" x14ac:dyDescent="0.25">
      <c r="A18" s="80" t="s">
        <v>397</v>
      </c>
      <c r="B18" s="75">
        <v>1</v>
      </c>
      <c r="C18" s="75" t="s">
        <v>398</v>
      </c>
      <c r="D18" s="75">
        <v>1.5</v>
      </c>
      <c r="E18" s="76">
        <f t="shared" si="0"/>
        <v>0.55403861333333326</v>
      </c>
      <c r="F18" s="77">
        <f t="shared" si="1"/>
        <v>0.10259974320987653</v>
      </c>
    </row>
    <row r="19" spans="1:6" x14ac:dyDescent="0.2">
      <c r="D19" s="75">
        <v>1.6</v>
      </c>
      <c r="E19" s="76">
        <f t="shared" si="0"/>
        <v>0.51941119999999996</v>
      </c>
      <c r="F19" s="77">
        <f t="shared" si="1"/>
        <v>9.618725925925925E-2</v>
      </c>
    </row>
    <row r="20" spans="1:6" x14ac:dyDescent="0.2">
      <c r="D20" s="75">
        <v>1.7</v>
      </c>
      <c r="E20" s="76">
        <f t="shared" si="0"/>
        <v>0.4888576</v>
      </c>
      <c r="F20" s="77">
        <f t="shared" si="1"/>
        <v>9.0529185185185171E-2</v>
      </c>
    </row>
    <row r="21" spans="1:6" ht="12" x14ac:dyDescent="0.25">
      <c r="A21" s="137" t="s">
        <v>399</v>
      </c>
      <c r="B21" s="137"/>
      <c r="C21" s="137"/>
      <c r="D21" s="75">
        <v>1.8</v>
      </c>
      <c r="E21" s="76">
        <f t="shared" si="0"/>
        <v>0.46169884444444448</v>
      </c>
      <c r="F21" s="77">
        <f t="shared" si="1"/>
        <v>8.5499786008230452E-2</v>
      </c>
    </row>
    <row r="22" spans="1:6" x14ac:dyDescent="0.2">
      <c r="A22" s="74" t="s">
        <v>400</v>
      </c>
      <c r="B22" s="75">
        <v>7.1999999999999995E-2</v>
      </c>
      <c r="C22" s="75" t="s">
        <v>401</v>
      </c>
      <c r="D22" s="75">
        <v>1.9</v>
      </c>
      <c r="E22" s="76">
        <f t="shared" si="0"/>
        <v>0.43739890526315794</v>
      </c>
      <c r="F22" s="77">
        <f t="shared" si="1"/>
        <v>8.0999797270955173E-2</v>
      </c>
    </row>
    <row r="23" spans="1:6" x14ac:dyDescent="0.2">
      <c r="A23" s="74" t="s">
        <v>402</v>
      </c>
      <c r="B23" s="75">
        <v>6.55</v>
      </c>
      <c r="C23" s="75" t="s">
        <v>403</v>
      </c>
      <c r="D23" s="75">
        <v>2</v>
      </c>
      <c r="E23" s="76">
        <f t="shared" si="0"/>
        <v>0.41552896</v>
      </c>
      <c r="F23" s="77">
        <f t="shared" si="1"/>
        <v>7.6949807407407408E-2</v>
      </c>
    </row>
    <row r="24" spans="1:6" ht="12" x14ac:dyDescent="0.25">
      <c r="A24" s="74" t="s">
        <v>404</v>
      </c>
      <c r="B24" s="75">
        <v>0.8</v>
      </c>
      <c r="C24" s="75" t="s">
        <v>401</v>
      </c>
      <c r="D24" s="75">
        <v>2.1</v>
      </c>
      <c r="E24" s="76">
        <f t="shared" si="0"/>
        <v>0.39574186666666661</v>
      </c>
      <c r="F24" s="77">
        <f t="shared" si="1"/>
        <v>7.3285530864197521E-2</v>
      </c>
    </row>
    <row r="25" spans="1:6" x14ac:dyDescent="0.2">
      <c r="A25" s="74" t="s">
        <v>405</v>
      </c>
      <c r="B25" s="76">
        <f>+B22*B23^B24</f>
        <v>0.32383630567855543</v>
      </c>
      <c r="C25" s="75" t="s">
        <v>406</v>
      </c>
      <c r="D25" s="75">
        <v>2.2000000000000002</v>
      </c>
      <c r="E25" s="76">
        <f t="shared" si="0"/>
        <v>0.37775360000000002</v>
      </c>
      <c r="F25" s="77">
        <f t="shared" si="1"/>
        <v>6.9954370370370375E-2</v>
      </c>
    </row>
    <row r="26" spans="1:6" x14ac:dyDescent="0.2">
      <c r="A26" s="74" t="s">
        <v>407</v>
      </c>
      <c r="B26" s="76">
        <f>VLOOKUP(B25,D3:E33,2,1)*B18/B16/B17/B15</f>
        <v>0.22044444444444442</v>
      </c>
      <c r="C26" s="75" t="s">
        <v>408</v>
      </c>
      <c r="D26" s="75">
        <v>2.2999999999999998</v>
      </c>
      <c r="E26" s="76">
        <f t="shared" si="0"/>
        <v>0.36132953043478266</v>
      </c>
      <c r="F26" s="77">
        <f t="shared" si="1"/>
        <v>6.6912876006441233E-2</v>
      </c>
    </row>
    <row r="27" spans="1:6" x14ac:dyDescent="0.2">
      <c r="A27" s="74" t="s">
        <v>409</v>
      </c>
      <c r="B27" s="83">
        <f>+IF(B25&lt;0.5,1,IF(B25&gt;2.5,2,0.75+0.5*B25))</f>
        <v>1</v>
      </c>
      <c r="C27" s="75" t="s">
        <v>410</v>
      </c>
      <c r="D27" s="75">
        <v>2.4</v>
      </c>
      <c r="E27" s="76">
        <f t="shared" si="0"/>
        <v>0.34627413333333334</v>
      </c>
      <c r="F27" s="77">
        <f t="shared" si="1"/>
        <v>6.4124839506172843E-2</v>
      </c>
    </row>
    <row r="28" spans="1:6" x14ac:dyDescent="0.2">
      <c r="D28" s="75">
        <v>2.5</v>
      </c>
      <c r="E28" s="76">
        <f t="shared" si="0"/>
        <v>0.33242316799999999</v>
      </c>
      <c r="F28" s="77">
        <f t="shared" si="1"/>
        <v>6.1559845925925921E-2</v>
      </c>
    </row>
    <row r="29" spans="1:6" x14ac:dyDescent="0.2">
      <c r="D29" s="75">
        <v>2.6</v>
      </c>
      <c r="E29" s="76">
        <f t="shared" si="0"/>
        <v>0.31963766153846157</v>
      </c>
      <c r="F29" s="77">
        <f t="shared" si="1"/>
        <v>5.9192159544159545E-2</v>
      </c>
    </row>
    <row r="30" spans="1:6" x14ac:dyDescent="0.2">
      <c r="D30" s="75">
        <v>2.7</v>
      </c>
      <c r="E30" s="76">
        <f t="shared" si="0"/>
        <v>0.30779922962962963</v>
      </c>
      <c r="F30" s="77">
        <f t="shared" si="1"/>
        <v>5.6999857338820299E-2</v>
      </c>
    </row>
    <row r="31" spans="1:6" x14ac:dyDescent="0.2">
      <c r="D31" s="75">
        <v>2.8</v>
      </c>
      <c r="E31" s="76">
        <f t="shared" si="0"/>
        <v>0.29680640000000003</v>
      </c>
      <c r="F31" s="77">
        <f t="shared" si="1"/>
        <v>5.4964148148148151E-2</v>
      </c>
    </row>
    <row r="32" spans="1:6" x14ac:dyDescent="0.2">
      <c r="D32" s="75">
        <v>2.9</v>
      </c>
      <c r="E32" s="76">
        <f t="shared" si="0"/>
        <v>0.28657169655172415</v>
      </c>
      <c r="F32" s="77">
        <f t="shared" si="1"/>
        <v>5.3068832694763729E-2</v>
      </c>
    </row>
    <row r="33" spans="2:7" x14ac:dyDescent="0.2">
      <c r="D33" s="75">
        <v>3</v>
      </c>
      <c r="E33" s="76">
        <f t="shared" si="0"/>
        <v>0.27701930666666663</v>
      </c>
      <c r="F33" s="77">
        <f t="shared" si="1"/>
        <v>5.1299871604938263E-2</v>
      </c>
    </row>
    <row r="34" spans="2:7" x14ac:dyDescent="0.2">
      <c r="B34" s="81"/>
    </row>
    <row r="37" spans="2:7" x14ac:dyDescent="0.2">
      <c r="E37" s="79">
        <f>2.48*0.4*1.2*(0.7/0.727)</f>
        <v>1.1461898211829435</v>
      </c>
    </row>
    <row r="38" spans="2:7" x14ac:dyDescent="0.2">
      <c r="E38" s="79">
        <f>1.146/6</f>
        <v>0.19099999999999998</v>
      </c>
    </row>
    <row r="42" spans="2:7" x14ac:dyDescent="0.2">
      <c r="D42" s="79">
        <f>145000*2.3</f>
        <v>333500</v>
      </c>
      <c r="G42" s="73">
        <f>0.004445*0.75*6</f>
        <v>2.0002499999999999E-2</v>
      </c>
    </row>
  </sheetData>
  <mergeCells count="3">
    <mergeCell ref="A2:C2"/>
    <mergeCell ref="A14:C14"/>
    <mergeCell ref="A21:C21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85270-C90D-4AFB-A196-469B7A26E749}">
  <dimension ref="A4:Q28"/>
  <sheetViews>
    <sheetView zoomScale="110" zoomScaleNormal="110" workbookViewId="0">
      <selection activeCell="I28" sqref="I28"/>
    </sheetView>
  </sheetViews>
  <sheetFormatPr baseColWidth="10" defaultRowHeight="14.4" x14ac:dyDescent="0.3"/>
  <cols>
    <col min="1" max="15" width="9.21875" style="27" customWidth="1"/>
    <col min="16" max="17" width="9.33203125" style="27" customWidth="1"/>
    <col min="18" max="19" width="9.88671875" style="27" customWidth="1"/>
    <col min="20" max="16384" width="11.5546875" style="27"/>
  </cols>
  <sheetData>
    <row r="4" spans="1:17" x14ac:dyDescent="0.3">
      <c r="A4" s="138" t="s">
        <v>411</v>
      </c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</row>
    <row r="5" spans="1:17" x14ac:dyDescent="0.3">
      <c r="A5" s="84" t="s">
        <v>412</v>
      </c>
      <c r="B5" s="84" t="s">
        <v>413</v>
      </c>
      <c r="C5" s="85" t="s">
        <v>414</v>
      </c>
      <c r="D5" s="85" t="s">
        <v>415</v>
      </c>
      <c r="E5" s="85" t="s">
        <v>416</v>
      </c>
      <c r="F5" s="85" t="s">
        <v>417</v>
      </c>
      <c r="G5" s="85" t="s">
        <v>418</v>
      </c>
      <c r="H5" s="85" t="s">
        <v>419</v>
      </c>
      <c r="I5" s="85" t="s">
        <v>420</v>
      </c>
      <c r="J5" s="85" t="s">
        <v>421</v>
      </c>
      <c r="K5" s="85" t="s">
        <v>422</v>
      </c>
      <c r="L5" s="85" t="s">
        <v>423</v>
      </c>
      <c r="M5" s="85" t="s">
        <v>424</v>
      </c>
      <c r="N5" s="85" t="s">
        <v>425</v>
      </c>
      <c r="O5" s="85" t="s">
        <v>426</v>
      </c>
    </row>
    <row r="6" spans="1:17" x14ac:dyDescent="0.3">
      <c r="A6" s="86" t="s">
        <v>427</v>
      </c>
      <c r="B6" s="86" t="s">
        <v>427</v>
      </c>
      <c r="C6" s="87" t="s">
        <v>428</v>
      </c>
      <c r="D6" s="87"/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</row>
    <row r="7" spans="1:17" x14ac:dyDescent="0.3">
      <c r="A7" s="88" t="s">
        <v>429</v>
      </c>
      <c r="B7" s="88" t="s">
        <v>285</v>
      </c>
      <c r="C7" s="89">
        <v>0.46200000000000002</v>
      </c>
      <c r="D7" s="89">
        <v>0.89590000000000003</v>
      </c>
      <c r="E7" s="89">
        <v>8.9999999999999998E-4</v>
      </c>
      <c r="F7" s="89">
        <v>0</v>
      </c>
      <c r="G7" s="89">
        <v>0.89590000000000003</v>
      </c>
      <c r="H7" s="89">
        <v>8.9999999999999998E-4</v>
      </c>
      <c r="I7" s="89">
        <v>0</v>
      </c>
      <c r="J7" s="89">
        <v>1E-4</v>
      </c>
      <c r="K7" s="89">
        <v>0.15740000000000001</v>
      </c>
      <c r="L7" s="89">
        <v>7.0000000000000001E-3</v>
      </c>
      <c r="M7" s="89">
        <v>1E-4</v>
      </c>
      <c r="N7" s="89">
        <v>0.15740000000000001</v>
      </c>
      <c r="O7" s="89">
        <v>7.0000000000000001E-3</v>
      </c>
      <c r="P7" s="89">
        <f>SUM(J7:L7)</f>
        <v>0.16450000000000001</v>
      </c>
      <c r="Q7" s="16">
        <f>+L7/P7</f>
        <v>4.2553191489361701E-2</v>
      </c>
    </row>
    <row r="8" spans="1:17" x14ac:dyDescent="0.3">
      <c r="A8" s="88" t="s">
        <v>429</v>
      </c>
      <c r="B8" s="88" t="s">
        <v>287</v>
      </c>
      <c r="C8" s="89">
        <v>0.41699999999999998</v>
      </c>
      <c r="D8" s="89">
        <v>2.2000000000000001E-3</v>
      </c>
      <c r="E8" s="89">
        <v>0.87170000000000003</v>
      </c>
      <c r="F8" s="89">
        <v>0</v>
      </c>
      <c r="G8" s="89">
        <v>0.89810000000000001</v>
      </c>
      <c r="H8" s="89">
        <v>0.87260000000000004</v>
      </c>
      <c r="I8" s="89">
        <v>0</v>
      </c>
      <c r="J8" s="89">
        <v>0.13439999999999999</v>
      </c>
      <c r="K8" s="89">
        <v>4.0000000000000002E-4</v>
      </c>
      <c r="L8" s="89">
        <v>4.4600000000000001E-2</v>
      </c>
      <c r="M8" s="89">
        <v>0.13450000000000001</v>
      </c>
      <c r="N8" s="89">
        <v>0.15790000000000001</v>
      </c>
      <c r="O8" s="89">
        <v>5.16E-2</v>
      </c>
      <c r="P8" s="89">
        <f>SUM(J8:L8)</f>
        <v>0.1794</v>
      </c>
      <c r="Q8" s="16">
        <f>+L8/P8</f>
        <v>0.24860646599777034</v>
      </c>
    </row>
    <row r="9" spans="1:17" x14ac:dyDescent="0.3">
      <c r="A9" s="88" t="s">
        <v>429</v>
      </c>
      <c r="B9" s="88" t="s">
        <v>286</v>
      </c>
      <c r="C9" s="89">
        <v>0.33700000000000002</v>
      </c>
      <c r="D9" s="89">
        <v>5.1000000000000004E-3</v>
      </c>
      <c r="E9" s="89">
        <v>4.4999999999999998E-2</v>
      </c>
      <c r="F9" s="89">
        <v>0</v>
      </c>
      <c r="G9" s="89">
        <v>0.9032</v>
      </c>
      <c r="H9" s="89">
        <v>0.91759999999999997</v>
      </c>
      <c r="I9" s="89">
        <v>0</v>
      </c>
      <c r="J9" s="89">
        <v>6.3E-3</v>
      </c>
      <c r="K9" s="89">
        <v>8.9999999999999998E-4</v>
      </c>
      <c r="L9" s="89">
        <v>0.86519999999999997</v>
      </c>
      <c r="M9" s="89">
        <v>0.14080000000000001</v>
      </c>
      <c r="N9" s="89">
        <v>0.1588</v>
      </c>
      <c r="O9" s="89">
        <v>0.91679999999999995</v>
      </c>
      <c r="P9" s="89">
        <f>SUM(J9:L9)</f>
        <v>0.87239999999999995</v>
      </c>
      <c r="Q9" s="16">
        <f>+L9/P9</f>
        <v>0.99174690508940855</v>
      </c>
    </row>
    <row r="10" spans="1:17" x14ac:dyDescent="0.3">
      <c r="A10" s="88" t="s">
        <v>429</v>
      </c>
      <c r="B10" s="88" t="s">
        <v>290</v>
      </c>
      <c r="C10" s="89">
        <v>0.13200000000000001</v>
      </c>
      <c r="D10" s="89">
        <v>9.3700000000000006E-2</v>
      </c>
      <c r="E10" s="89">
        <v>1.1000000000000001E-3</v>
      </c>
      <c r="F10" s="89">
        <v>0</v>
      </c>
      <c r="G10" s="89">
        <v>0.99690000000000001</v>
      </c>
      <c r="H10" s="89">
        <v>0.91869999999999996</v>
      </c>
      <c r="I10" s="89">
        <v>0</v>
      </c>
      <c r="J10" s="89">
        <v>1.1599999999999999E-2</v>
      </c>
      <c r="K10" s="89">
        <v>0.81469999999999998</v>
      </c>
      <c r="L10" s="89">
        <v>1.4E-3</v>
      </c>
      <c r="M10" s="89">
        <v>0.15240000000000001</v>
      </c>
      <c r="N10" s="89">
        <v>0.97350000000000003</v>
      </c>
      <c r="O10" s="89">
        <v>0.91820000000000002</v>
      </c>
    </row>
    <row r="11" spans="1:17" x14ac:dyDescent="0.3">
      <c r="A11" s="88" t="s">
        <v>429</v>
      </c>
      <c r="B11" s="88" t="s">
        <v>292</v>
      </c>
      <c r="C11" s="89">
        <v>0.128</v>
      </c>
      <c r="D11" s="89">
        <v>1.9E-3</v>
      </c>
      <c r="E11" s="89">
        <v>7.8100000000000003E-2</v>
      </c>
      <c r="F11" s="89">
        <v>0</v>
      </c>
      <c r="G11" s="89">
        <v>0.99880000000000002</v>
      </c>
      <c r="H11" s="89">
        <v>0.99680000000000002</v>
      </c>
      <c r="I11" s="89">
        <v>0</v>
      </c>
      <c r="J11" s="89">
        <v>0.81299999999999994</v>
      </c>
      <c r="K11" s="89">
        <v>1.6400000000000001E-2</v>
      </c>
      <c r="L11" s="89">
        <v>3.0000000000000001E-3</v>
      </c>
      <c r="M11" s="89">
        <v>0.96540000000000004</v>
      </c>
      <c r="N11" s="89">
        <v>0.9899</v>
      </c>
      <c r="O11" s="89">
        <v>0.92120000000000002</v>
      </c>
    </row>
    <row r="12" spans="1:17" x14ac:dyDescent="0.3">
      <c r="A12" s="88" t="s">
        <v>429</v>
      </c>
      <c r="B12" s="88" t="s">
        <v>288</v>
      </c>
      <c r="C12" s="89">
        <v>0.10299999999999999</v>
      </c>
      <c r="D12" s="89">
        <v>1.1999999999999999E-3</v>
      </c>
      <c r="E12" s="89">
        <v>3.2000000000000002E-3</v>
      </c>
      <c r="F12" s="89">
        <v>0</v>
      </c>
      <c r="G12" s="89">
        <v>1</v>
      </c>
      <c r="H12" s="89">
        <v>1</v>
      </c>
      <c r="I12" s="89">
        <v>0</v>
      </c>
      <c r="J12" s="89">
        <v>3.4200000000000001E-2</v>
      </c>
      <c r="K12" s="89">
        <v>0.01</v>
      </c>
      <c r="L12" s="89">
        <v>7.8799999999999995E-2</v>
      </c>
      <c r="M12" s="89">
        <v>0.99970000000000003</v>
      </c>
      <c r="N12" s="89">
        <v>1</v>
      </c>
      <c r="O12" s="89">
        <v>1</v>
      </c>
    </row>
    <row r="13" spans="1:17" x14ac:dyDescent="0.3">
      <c r="A13" s="88" t="s">
        <v>429</v>
      </c>
      <c r="B13" s="88" t="s">
        <v>295</v>
      </c>
      <c r="C13" s="89">
        <v>2.5000000000000001E-2</v>
      </c>
      <c r="D13" s="89">
        <v>2.1469999999999999E-6</v>
      </c>
      <c r="E13" s="89">
        <v>2.3059999999999999E-5</v>
      </c>
      <c r="F13" s="89">
        <v>0</v>
      </c>
      <c r="G13" s="89">
        <v>1</v>
      </c>
      <c r="H13" s="89">
        <v>1</v>
      </c>
      <c r="I13" s="89">
        <v>0</v>
      </c>
      <c r="J13" s="89">
        <v>1E-4</v>
      </c>
      <c r="K13" s="89">
        <v>1.1440000000000001E-5</v>
      </c>
      <c r="L13" s="89">
        <v>7.9170000000000006E-6</v>
      </c>
      <c r="M13" s="89">
        <v>0.99980000000000002</v>
      </c>
      <c r="N13" s="89">
        <v>1</v>
      </c>
      <c r="O13" s="89">
        <v>1</v>
      </c>
    </row>
    <row r="14" spans="1:17" x14ac:dyDescent="0.3">
      <c r="A14" s="88" t="s">
        <v>429</v>
      </c>
      <c r="B14" s="88" t="s">
        <v>297</v>
      </c>
      <c r="C14" s="89">
        <v>2.4E-2</v>
      </c>
      <c r="D14" s="89">
        <v>7.6990000000000003E-7</v>
      </c>
      <c r="E14" s="89">
        <v>6.4590000000000003E-6</v>
      </c>
      <c r="F14" s="89">
        <v>0</v>
      </c>
      <c r="G14" s="89">
        <v>1</v>
      </c>
      <c r="H14" s="89">
        <v>1</v>
      </c>
      <c r="I14" s="89">
        <v>0</v>
      </c>
      <c r="J14" s="89">
        <v>2.0000000000000001E-4</v>
      </c>
      <c r="K14" s="89">
        <v>1.4589999999999999E-5</v>
      </c>
      <c r="L14" s="89">
        <v>1.7150000000000001E-6</v>
      </c>
      <c r="M14" s="89">
        <v>1</v>
      </c>
      <c r="N14" s="89">
        <v>1</v>
      </c>
      <c r="O14" s="89">
        <v>1</v>
      </c>
    </row>
    <row r="15" spans="1:17" x14ac:dyDescent="0.3">
      <c r="A15" s="88" t="s">
        <v>429</v>
      </c>
      <c r="B15" s="88" t="s">
        <v>289</v>
      </c>
      <c r="C15" s="89">
        <v>2.3E-2</v>
      </c>
      <c r="D15" s="89">
        <v>6.3819999999999998E-7</v>
      </c>
      <c r="E15" s="89">
        <v>0</v>
      </c>
      <c r="F15" s="89">
        <v>0</v>
      </c>
      <c r="G15" s="89">
        <v>1</v>
      </c>
      <c r="H15" s="89">
        <v>1</v>
      </c>
      <c r="I15" s="89">
        <v>0</v>
      </c>
      <c r="J15" s="89">
        <v>0</v>
      </c>
      <c r="K15" s="89">
        <v>3.3510000000000002E-6</v>
      </c>
      <c r="L15" s="89">
        <v>0</v>
      </c>
      <c r="M15" s="89">
        <v>1</v>
      </c>
      <c r="N15" s="89">
        <v>1</v>
      </c>
      <c r="O15" s="89">
        <v>1</v>
      </c>
    </row>
    <row r="16" spans="1:17" x14ac:dyDescent="0.3">
      <c r="A16" s="88" t="s">
        <v>429</v>
      </c>
      <c r="B16" s="88" t="s">
        <v>430</v>
      </c>
      <c r="C16" s="89">
        <v>2.1999999999999999E-2</v>
      </c>
      <c r="D16" s="89">
        <v>0</v>
      </c>
      <c r="E16" s="89">
        <v>0</v>
      </c>
      <c r="F16" s="89">
        <v>0</v>
      </c>
      <c r="G16" s="89">
        <v>1</v>
      </c>
      <c r="H16" s="89">
        <v>1</v>
      </c>
      <c r="I16" s="89">
        <v>0</v>
      </c>
      <c r="J16" s="89">
        <v>0</v>
      </c>
      <c r="K16" s="89">
        <v>3.6720000000000002E-6</v>
      </c>
      <c r="L16" s="89">
        <v>0</v>
      </c>
      <c r="M16" s="89">
        <v>1</v>
      </c>
      <c r="N16" s="89">
        <v>1</v>
      </c>
      <c r="O16" s="89">
        <v>1</v>
      </c>
    </row>
    <row r="17" spans="1:15" x14ac:dyDescent="0.3">
      <c r="A17" s="88" t="s">
        <v>429</v>
      </c>
      <c r="B17" s="88" t="s">
        <v>300</v>
      </c>
      <c r="C17" s="89">
        <v>1.4999999999999999E-2</v>
      </c>
      <c r="D17" s="89">
        <v>0</v>
      </c>
      <c r="E17" s="89">
        <v>7.568E-7</v>
      </c>
      <c r="F17" s="89">
        <v>0</v>
      </c>
      <c r="G17" s="89">
        <v>1</v>
      </c>
      <c r="H17" s="89">
        <v>1</v>
      </c>
      <c r="I17" s="89">
        <v>0</v>
      </c>
      <c r="J17" s="89">
        <v>5.5079999999999996E-6</v>
      </c>
      <c r="K17" s="89">
        <v>0</v>
      </c>
      <c r="L17" s="89">
        <v>0</v>
      </c>
      <c r="M17" s="89">
        <v>1</v>
      </c>
      <c r="N17" s="89">
        <v>1</v>
      </c>
      <c r="O17" s="89">
        <v>1</v>
      </c>
    </row>
    <row r="18" spans="1:15" x14ac:dyDescent="0.3">
      <c r="A18" s="88" t="s">
        <v>429</v>
      </c>
      <c r="B18" s="88" t="s">
        <v>291</v>
      </c>
      <c r="C18" s="89">
        <v>1.4999999999999999E-2</v>
      </c>
      <c r="D18" s="89">
        <v>0</v>
      </c>
      <c r="E18" s="89">
        <v>0</v>
      </c>
      <c r="F18" s="89">
        <v>0</v>
      </c>
      <c r="G18" s="89">
        <v>1</v>
      </c>
      <c r="H18" s="89">
        <v>1</v>
      </c>
      <c r="I18" s="89">
        <v>0</v>
      </c>
      <c r="J18" s="89">
        <v>2.768E-6</v>
      </c>
      <c r="K18" s="89">
        <v>0</v>
      </c>
      <c r="L18" s="89">
        <v>0</v>
      </c>
      <c r="M18" s="89">
        <v>1</v>
      </c>
      <c r="N18" s="89">
        <v>1</v>
      </c>
      <c r="O18" s="89">
        <v>1</v>
      </c>
    </row>
    <row r="21" spans="1:15" x14ac:dyDescent="0.3">
      <c r="E21" s="139" t="s">
        <v>436</v>
      </c>
      <c r="F21" s="139"/>
      <c r="G21" s="139"/>
    </row>
    <row r="22" spans="1:15" x14ac:dyDescent="0.3">
      <c r="E22" s="28" t="s">
        <v>431</v>
      </c>
      <c r="F22" s="28">
        <v>0.85</v>
      </c>
      <c r="G22" s="28" t="s">
        <v>12</v>
      </c>
    </row>
    <row r="23" spans="1:15" x14ac:dyDescent="0.3">
      <c r="E23" s="28" t="s">
        <v>432</v>
      </c>
      <c r="F23" s="28">
        <v>0.78</v>
      </c>
      <c r="G23" s="28" t="s">
        <v>12</v>
      </c>
    </row>
    <row r="24" spans="1:15" x14ac:dyDescent="0.3">
      <c r="E24" s="28" t="s">
        <v>433</v>
      </c>
      <c r="F24" s="2">
        <f>+(F22+F23)/2</f>
        <v>0.81499999999999995</v>
      </c>
      <c r="G24" s="28" t="s">
        <v>12</v>
      </c>
    </row>
    <row r="25" spans="1:15" x14ac:dyDescent="0.3">
      <c r="E25" s="28" t="s">
        <v>434</v>
      </c>
      <c r="F25" s="2">
        <f>+F24*1.2</f>
        <v>0.97799999999999987</v>
      </c>
      <c r="G25" s="28" t="s">
        <v>12</v>
      </c>
    </row>
    <row r="26" spans="1:15" x14ac:dyDescent="0.3">
      <c r="E26" s="28"/>
      <c r="F26" s="28"/>
      <c r="G26" s="28"/>
    </row>
    <row r="27" spans="1:15" x14ac:dyDescent="0.3">
      <c r="E27" s="28" t="s">
        <v>435</v>
      </c>
      <c r="F27" s="28">
        <f>+MAX(F22:F23)</f>
        <v>0.85</v>
      </c>
      <c r="G27" s="28" t="s">
        <v>12</v>
      </c>
    </row>
    <row r="28" spans="1:15" x14ac:dyDescent="0.3">
      <c r="E28" s="139" t="str">
        <f>+IF(F27&lt;F25,"OK","NO")</f>
        <v>OK</v>
      </c>
      <c r="F28" s="139"/>
      <c r="G28" s="139"/>
    </row>
  </sheetData>
  <mergeCells count="3">
    <mergeCell ref="A4:O4"/>
    <mergeCell ref="E21:G21"/>
    <mergeCell ref="E28:G2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losa horm</vt:lpstr>
      <vt:lpstr>VIGAS horm</vt:lpstr>
      <vt:lpstr>Hoja2</vt:lpstr>
      <vt:lpstr>COL horm</vt:lpstr>
      <vt:lpstr>VIGAS MET</vt:lpstr>
      <vt:lpstr>COL MET</vt:lpstr>
      <vt:lpstr>SISMICA</vt:lpstr>
      <vt:lpstr>Hoja3</vt:lpstr>
      <vt:lpstr>Hoja1</vt:lpstr>
      <vt:lpstr>CIM</vt:lpstr>
      <vt:lpstr>DATOS MEMORIA</vt:lpstr>
      <vt:lpstr>DATOS SISMICOS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edisson chavez</dc:creator>
  <cp:lastModifiedBy>edisson chavez</cp:lastModifiedBy>
  <dcterms:created xsi:type="dcterms:W3CDTF">2025-08-25T23:09:09Z</dcterms:created>
  <dcterms:modified xsi:type="dcterms:W3CDTF">2025-09-13T03:35:19Z</dcterms:modified>
</cp:coreProperties>
</file>