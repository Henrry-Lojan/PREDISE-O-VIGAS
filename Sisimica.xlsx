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UARIO 2023\Desktop\INTERFAZ\"/>
    </mc:Choice>
  </mc:AlternateContent>
  <xr:revisionPtr revIDLastSave="0" documentId="8_{83EBC885-15F7-4987-8E15-60F62575B857}" xr6:coauthVersionLast="47" xr6:coauthVersionMax="47" xr10:uidLastSave="{00000000-0000-0000-0000-000000000000}"/>
  <bookViews>
    <workbookView xWindow="-108" yWindow="-108" windowWidth="23256" windowHeight="12456" xr2:uid="{B4A90392-3A0A-4B17-ABEF-5477256201AF}"/>
  </bookViews>
  <sheets>
    <sheet name="SISMICA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7" i="2" l="1"/>
  <c r="Q27" i="2" s="1"/>
  <c r="P21" i="2"/>
  <c r="Q21" i="2" s="1"/>
  <c r="P15" i="2"/>
  <c r="Q15" i="2" s="1"/>
  <c r="M14" i="2"/>
  <c r="L14" i="2"/>
  <c r="G14" i="2"/>
  <c r="H14" i="2" s="1"/>
  <c r="L13" i="2"/>
  <c r="M13" i="2" s="1"/>
  <c r="G13" i="2"/>
  <c r="H13" i="2" s="1"/>
  <c r="U7" i="2"/>
  <c r="U4" i="2"/>
  <c r="Q4" i="2"/>
  <c r="P4" i="2"/>
  <c r="U3" i="2"/>
  <c r="F2" i="2"/>
  <c r="P32" i="2" s="1"/>
  <c r="Q32" i="2" s="1"/>
  <c r="P8" i="2" l="1"/>
  <c r="Q8" i="2" s="1"/>
  <c r="P16" i="2"/>
  <c r="Q16" i="2" s="1"/>
  <c r="P22" i="2"/>
  <c r="Q22" i="2" s="1"/>
  <c r="P28" i="2"/>
  <c r="Q28" i="2" s="1"/>
  <c r="K2" i="2"/>
  <c r="P2" i="2"/>
  <c r="Q2" i="2" s="1"/>
  <c r="P9" i="2"/>
  <c r="Q9" i="2" s="1"/>
  <c r="P13" i="2"/>
  <c r="Q13" i="2" s="1"/>
  <c r="P17" i="2"/>
  <c r="Q17" i="2" s="1"/>
  <c r="P23" i="2"/>
  <c r="Q23" i="2" s="1"/>
  <c r="P29" i="2"/>
  <c r="Q29" i="2" s="1"/>
  <c r="P5" i="2"/>
  <c r="Q5" i="2" s="1"/>
  <c r="P18" i="2"/>
  <c r="Q18" i="2" s="1"/>
  <c r="P24" i="2"/>
  <c r="Q24" i="2" s="1"/>
  <c r="P30" i="2"/>
  <c r="Q30" i="2" s="1"/>
  <c r="P6" i="2"/>
  <c r="P3" i="2"/>
  <c r="Q3" i="2" s="1"/>
  <c r="P10" i="2"/>
  <c r="Q10" i="2" s="1"/>
  <c r="P11" i="2"/>
  <c r="Q11" i="2" s="1"/>
  <c r="P19" i="2"/>
  <c r="Q19" i="2" s="1"/>
  <c r="P25" i="2"/>
  <c r="Q25" i="2" s="1"/>
  <c r="P31" i="2"/>
  <c r="Q31" i="2" s="1"/>
  <c r="P7" i="2"/>
  <c r="Q7" i="2" s="1"/>
  <c r="P12" i="2"/>
  <c r="Q12" i="2" s="1"/>
  <c r="P14" i="2"/>
  <c r="Q14" i="2" s="1"/>
  <c r="P20" i="2"/>
  <c r="Q20" i="2" s="1"/>
  <c r="P26" i="2"/>
  <c r="Q26" i="2" s="1"/>
  <c r="K4" i="2" l="1"/>
  <c r="K5" i="2" s="1"/>
  <c r="Q6" i="2"/>
  <c r="F4" i="2"/>
  <c r="V4" i="2" l="1"/>
  <c r="V7" i="2"/>
  <c r="V6" i="2"/>
  <c r="F5" i="2"/>
</calcChain>
</file>

<file path=xl/sharedStrings.xml><?xml version="1.0" encoding="utf-8"?>
<sst xmlns="http://schemas.openxmlformats.org/spreadsheetml/2006/main" count="38" uniqueCount="26">
  <si>
    <t>DATOS SIIMICOS</t>
  </si>
  <si>
    <t>Calculos Met</t>
  </si>
  <si>
    <t>Calculos Horm</t>
  </si>
  <si>
    <t>T</t>
  </si>
  <si>
    <t>Sa</t>
  </si>
  <si>
    <t>Saine</t>
  </si>
  <si>
    <t>I</t>
  </si>
  <si>
    <t>Tc</t>
  </si>
  <si>
    <t>s</t>
  </si>
  <si>
    <t>x</t>
  </si>
  <si>
    <t>y</t>
  </si>
  <si>
    <t xml:space="preserve"> fi p</t>
  </si>
  <si>
    <t>T f</t>
  </si>
  <si>
    <t>fi e</t>
  </si>
  <si>
    <t>R</t>
  </si>
  <si>
    <t>Coef</t>
  </si>
  <si>
    <t>n</t>
  </si>
  <si>
    <t>Z</t>
  </si>
  <si>
    <t xml:space="preserve">Fa  </t>
  </si>
  <si>
    <t xml:space="preserve">Fd </t>
  </si>
  <si>
    <t>Fs</t>
  </si>
  <si>
    <t>r</t>
  </si>
  <si>
    <t>elas</t>
  </si>
  <si>
    <t>inel</t>
  </si>
  <si>
    <t>Deriva x</t>
  </si>
  <si>
    <t>Deriva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</si>
</sst>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2" fontId="2" fillId="2" borderId="1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2" fillId="2" borderId="0" xfId="0" applyNumberFormat="1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2" fontId="3" fillId="0" borderId="0" xfId="0" applyNumberFormat="1" applyFont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10" fontId="4" fillId="6" borderId="1" xfId="1" applyNumberFormat="1" applyFont="1" applyFill="1" applyBorder="1" applyAlignment="1">
      <alignment horizontal="center"/>
    </xf>
    <xf numFmtId="10" fontId="4" fillId="0" borderId="0" xfId="1" applyNumberFormat="1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SISMICA!$O$2:$O$32</c:f>
              <c:numCache>
                <c:formatCode>0.00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SISMICA!$P$2:$P$32</c:f>
              <c:numCache>
                <c:formatCode>0.00</c:formatCode>
                <c:ptCount val="31"/>
                <c:pt idx="0">
                  <c:v>1.1903999999999999</c:v>
                </c:pt>
                <c:pt idx="1">
                  <c:v>1.1903999999999999</c:v>
                </c:pt>
                <c:pt idx="2">
                  <c:v>1.1903999999999999</c:v>
                </c:pt>
                <c:pt idx="3">
                  <c:v>1.1903999999999999</c:v>
                </c:pt>
                <c:pt idx="4">
                  <c:v>1.1903999999999999</c:v>
                </c:pt>
                <c:pt idx="5">
                  <c:v>1.1903999999999999</c:v>
                </c:pt>
                <c:pt idx="6">
                  <c:v>1.1903999999999999</c:v>
                </c:pt>
                <c:pt idx="7">
                  <c:v>1.1872256000000001</c:v>
                </c:pt>
                <c:pt idx="8">
                  <c:v>1.0388223999999999</c:v>
                </c:pt>
                <c:pt idx="9">
                  <c:v>0.92339768888888896</c:v>
                </c:pt>
                <c:pt idx="10">
                  <c:v>0.83105792000000001</c:v>
                </c:pt>
                <c:pt idx="11">
                  <c:v>0.75550720000000005</c:v>
                </c:pt>
                <c:pt idx="12">
                  <c:v>0.69254826666666669</c:v>
                </c:pt>
                <c:pt idx="13">
                  <c:v>0.63927532307692314</c:v>
                </c:pt>
                <c:pt idx="14">
                  <c:v>0.59361280000000005</c:v>
                </c:pt>
                <c:pt idx="15">
                  <c:v>0.55403861333333326</c:v>
                </c:pt>
                <c:pt idx="16">
                  <c:v>0.51941119999999996</c:v>
                </c:pt>
                <c:pt idx="17">
                  <c:v>0.4888576</c:v>
                </c:pt>
                <c:pt idx="18">
                  <c:v>0.46169884444444448</c:v>
                </c:pt>
                <c:pt idx="19">
                  <c:v>0.43739890526315794</c:v>
                </c:pt>
                <c:pt idx="20">
                  <c:v>0.41552896</c:v>
                </c:pt>
                <c:pt idx="21">
                  <c:v>0.39574186666666661</c:v>
                </c:pt>
                <c:pt idx="22">
                  <c:v>0.37775360000000002</c:v>
                </c:pt>
                <c:pt idx="23">
                  <c:v>0.36132953043478266</c:v>
                </c:pt>
                <c:pt idx="24">
                  <c:v>0.34627413333333334</c:v>
                </c:pt>
                <c:pt idx="25">
                  <c:v>0.33242316799999999</c:v>
                </c:pt>
                <c:pt idx="26">
                  <c:v>0.31963766153846157</c:v>
                </c:pt>
                <c:pt idx="27">
                  <c:v>0.30779922962962963</c:v>
                </c:pt>
                <c:pt idx="28">
                  <c:v>0.29680640000000003</c:v>
                </c:pt>
                <c:pt idx="29">
                  <c:v>0.28657169655172415</c:v>
                </c:pt>
                <c:pt idx="30">
                  <c:v>0.27701930666666663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74-487B-90D6-114A92F5BF37}"/>
            </c:ext>
          </c:extLst>
        </c:ser>
        <c:ser>
          <c:idx val="1"/>
          <c:order val="1"/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SISMICA!$U$3:$U$4</c:f>
              <c:numCache>
                <c:formatCode>0.00</c:formatCode>
                <c:ptCount val="2"/>
                <c:pt idx="0">
                  <c:v>0.45</c:v>
                </c:pt>
                <c:pt idx="1">
                  <c:v>0.45</c:v>
                </c:pt>
              </c:numCache>
            </c:numRef>
          </c:xVal>
          <c:yVal>
            <c:numRef>
              <c:f>SISMICA!$V$3:$V$4</c:f>
              <c:numCache>
                <c:formatCode>0.00</c:formatCode>
                <c:ptCount val="2"/>
                <c:pt idx="0">
                  <c:v>0</c:v>
                </c:pt>
                <c:pt idx="1">
                  <c:v>1.1903999999999999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74-487B-90D6-114A92F5BF37}"/>
            </c:ext>
          </c:extLst>
        </c:ser>
        <c:ser>
          <c:idx val="2"/>
          <c:order val="2"/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SISMICA!$U$6:$U$7</c:f>
              <c:numCache>
                <c:formatCode>0.00</c:formatCode>
                <c:ptCount val="2"/>
                <c:pt idx="0">
                  <c:v>0</c:v>
                </c:pt>
                <c:pt idx="1">
                  <c:v>0.45</c:v>
                </c:pt>
              </c:numCache>
            </c:numRef>
          </c:xVal>
          <c:yVal>
            <c:numRef>
              <c:f>SISMICA!$V$6:$V$7</c:f>
              <c:numCache>
                <c:formatCode>0.00</c:formatCode>
                <c:ptCount val="2"/>
                <c:pt idx="0">
                  <c:v>1.1903999999999999</c:v>
                </c:pt>
                <c:pt idx="1">
                  <c:v>1.1903999999999999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C74-487B-90D6-114A92F5BF37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SISMICA!$O$2:$O$32</c:f>
              <c:numCache>
                <c:formatCode>0.00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SISMICA!$Q$2:$Q$32</c:f>
              <c:numCache>
                <c:formatCode>0.00</c:formatCode>
                <c:ptCount val="31"/>
                <c:pt idx="0">
                  <c:v>0.22044444444444442</c:v>
                </c:pt>
                <c:pt idx="1">
                  <c:v>0.22044444444444442</c:v>
                </c:pt>
                <c:pt idx="2">
                  <c:v>0.22044444444444442</c:v>
                </c:pt>
                <c:pt idx="3">
                  <c:v>0.22044444444444442</c:v>
                </c:pt>
                <c:pt idx="4">
                  <c:v>0.22044444444444442</c:v>
                </c:pt>
                <c:pt idx="5">
                  <c:v>0.22044444444444442</c:v>
                </c:pt>
                <c:pt idx="6">
                  <c:v>0.22044444444444442</c:v>
                </c:pt>
                <c:pt idx="7">
                  <c:v>0.2198565925925926</c:v>
                </c:pt>
                <c:pt idx="8">
                  <c:v>0.1923745185185185</c:v>
                </c:pt>
                <c:pt idx="9">
                  <c:v>0.1709995720164609</c:v>
                </c:pt>
                <c:pt idx="10">
                  <c:v>0.15389961481481482</c:v>
                </c:pt>
                <c:pt idx="11">
                  <c:v>0.13990874074074075</c:v>
                </c:pt>
                <c:pt idx="12">
                  <c:v>0.12824967901234569</c:v>
                </c:pt>
                <c:pt idx="13">
                  <c:v>0.11838431908831909</c:v>
                </c:pt>
                <c:pt idx="14">
                  <c:v>0.1099282962962963</c:v>
                </c:pt>
                <c:pt idx="15">
                  <c:v>0.10259974320987653</c:v>
                </c:pt>
                <c:pt idx="16">
                  <c:v>9.618725925925925E-2</c:v>
                </c:pt>
                <c:pt idx="17">
                  <c:v>9.0529185185185171E-2</c:v>
                </c:pt>
                <c:pt idx="18">
                  <c:v>8.5499786008230452E-2</c:v>
                </c:pt>
                <c:pt idx="19">
                  <c:v>8.0999797270955173E-2</c:v>
                </c:pt>
                <c:pt idx="20">
                  <c:v>7.6949807407407408E-2</c:v>
                </c:pt>
                <c:pt idx="21">
                  <c:v>7.3285530864197521E-2</c:v>
                </c:pt>
                <c:pt idx="22">
                  <c:v>6.9954370370370375E-2</c:v>
                </c:pt>
                <c:pt idx="23">
                  <c:v>6.6912876006441233E-2</c:v>
                </c:pt>
                <c:pt idx="24">
                  <c:v>6.4124839506172843E-2</c:v>
                </c:pt>
                <c:pt idx="25">
                  <c:v>6.1559845925925921E-2</c:v>
                </c:pt>
                <c:pt idx="26">
                  <c:v>5.9192159544159545E-2</c:v>
                </c:pt>
                <c:pt idx="27">
                  <c:v>5.6999857338820299E-2</c:v>
                </c:pt>
                <c:pt idx="28">
                  <c:v>5.4964148148148151E-2</c:v>
                </c:pt>
                <c:pt idx="29">
                  <c:v>5.3068832694763729E-2</c:v>
                </c:pt>
                <c:pt idx="30">
                  <c:v>5.1299871604938263E-2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C74-487B-90D6-114A92F5B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623312"/>
        <c:axId val="947607472"/>
      </c:scatterChart>
      <c:valAx>
        <c:axId val="947623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947607472"/>
        <c:crosses val="autoZero"/>
        <c:crossBetween val="midCat"/>
      </c:valAx>
      <c:valAx>
        <c:axId val="94760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94762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433754</xdr:colOff>
      <xdr:row>2</xdr:row>
      <xdr:rowOff>32239</xdr:rowOff>
    </xdr:from>
    <xdr:to>
      <xdr:col>17</xdr:col>
      <xdr:colOff>357554</xdr:colOff>
      <xdr:row>17</xdr:row>
      <xdr:rowOff>5862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2D8265-FC62-479B-BBDE-1154020EB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%202023/Desktop/Henrry%20Lojan/INGENIERIA%20ESTRUCTURAL/Modelo%20estructural%20ETABS/HOJA%20ELECTRONIC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sa horm"/>
      <sheetName val="VIGAS horm"/>
      <sheetName val="COL horm"/>
      <sheetName val="VIGAS MET"/>
      <sheetName val="COL MET"/>
      <sheetName val="SISMICA"/>
      <sheetName val="Hoja1"/>
      <sheetName val="CIM"/>
      <sheetName val="DATOS MEMORIA"/>
      <sheetName val="DATOS SISMICOS"/>
      <sheetName val="Hoja4"/>
    </sheetNames>
    <sheetDataSet>
      <sheetData sheetId="0"/>
      <sheetData sheetId="1"/>
      <sheetData sheetId="2"/>
      <sheetData sheetId="3"/>
      <sheetData sheetId="4"/>
      <sheetData sheetId="5">
        <row r="2">
          <cell r="O2">
            <v>0</v>
          </cell>
          <cell r="P2">
            <v>1.1903999999999999</v>
          </cell>
          <cell r="Q2">
            <v>0.22044444444444442</v>
          </cell>
        </row>
        <row r="3">
          <cell r="O3">
            <v>0.1</v>
          </cell>
          <cell r="P3">
            <v>1.1903999999999999</v>
          </cell>
          <cell r="Q3">
            <v>0.22044444444444442</v>
          </cell>
          <cell r="U3">
            <v>0.45</v>
          </cell>
          <cell r="V3">
            <v>0</v>
          </cell>
        </row>
        <row r="4">
          <cell r="O4">
            <v>0.2</v>
          </cell>
          <cell r="P4">
            <v>1.1903999999999999</v>
          </cell>
          <cell r="Q4">
            <v>0.22044444444444442</v>
          </cell>
          <cell r="U4">
            <v>0.45</v>
          </cell>
          <cell r="V4">
            <v>1.1903999999999999</v>
          </cell>
        </row>
        <row r="5">
          <cell r="O5">
            <v>0.3</v>
          </cell>
          <cell r="P5">
            <v>1.1903999999999999</v>
          </cell>
          <cell r="Q5">
            <v>0.22044444444444442</v>
          </cell>
        </row>
        <row r="6">
          <cell r="O6">
            <v>0.4</v>
          </cell>
          <cell r="P6">
            <v>1.1903999999999999</v>
          </cell>
          <cell r="Q6">
            <v>0.22044444444444442</v>
          </cell>
          <cell r="U6">
            <v>0</v>
          </cell>
          <cell r="V6">
            <v>1.1903999999999999</v>
          </cell>
        </row>
        <row r="7">
          <cell r="O7">
            <v>0.5</v>
          </cell>
          <cell r="P7">
            <v>1.1903999999999999</v>
          </cell>
          <cell r="Q7">
            <v>0.22044444444444442</v>
          </cell>
          <cell r="U7">
            <v>0.45</v>
          </cell>
          <cell r="V7">
            <v>1.1903999999999999</v>
          </cell>
        </row>
        <row r="8">
          <cell r="O8">
            <v>0.6</v>
          </cell>
          <cell r="P8">
            <v>1.1903999999999999</v>
          </cell>
          <cell r="Q8">
            <v>0.22044444444444442</v>
          </cell>
        </row>
        <row r="9">
          <cell r="O9">
            <v>0.7</v>
          </cell>
          <cell r="P9">
            <v>1.1872256000000001</v>
          </cell>
          <cell r="Q9">
            <v>0.2198565925925926</v>
          </cell>
        </row>
        <row r="10">
          <cell r="O10">
            <v>0.8</v>
          </cell>
          <cell r="P10">
            <v>1.0388223999999999</v>
          </cell>
          <cell r="Q10">
            <v>0.1923745185185185</v>
          </cell>
        </row>
        <row r="11">
          <cell r="O11">
            <v>0.9</v>
          </cell>
          <cell r="P11">
            <v>0.92339768888888896</v>
          </cell>
          <cell r="Q11">
            <v>0.1709995720164609</v>
          </cell>
        </row>
        <row r="12">
          <cell r="O12">
            <v>1</v>
          </cell>
          <cell r="P12">
            <v>0.83105792000000001</v>
          </cell>
          <cell r="Q12">
            <v>0.15389961481481482</v>
          </cell>
        </row>
        <row r="13">
          <cell r="O13">
            <v>1.1000000000000001</v>
          </cell>
          <cell r="P13">
            <v>0.75550720000000005</v>
          </cell>
          <cell r="Q13">
            <v>0.13990874074074075</v>
          </cell>
        </row>
        <row r="14">
          <cell r="O14">
            <v>1.2</v>
          </cell>
          <cell r="P14">
            <v>0.69254826666666669</v>
          </cell>
          <cell r="Q14">
            <v>0.12824967901234569</v>
          </cell>
        </row>
        <row r="15">
          <cell r="O15">
            <v>1.3</v>
          </cell>
          <cell r="P15">
            <v>0.63927532307692314</v>
          </cell>
          <cell r="Q15">
            <v>0.11838431908831909</v>
          </cell>
        </row>
        <row r="16">
          <cell r="O16">
            <v>1.4</v>
          </cell>
          <cell r="P16">
            <v>0.59361280000000005</v>
          </cell>
          <cell r="Q16">
            <v>0.1099282962962963</v>
          </cell>
        </row>
        <row r="17">
          <cell r="O17">
            <v>1.5</v>
          </cell>
          <cell r="P17">
            <v>0.55403861333333326</v>
          </cell>
          <cell r="Q17">
            <v>0.10259974320987653</v>
          </cell>
        </row>
        <row r="18">
          <cell r="O18">
            <v>1.6</v>
          </cell>
          <cell r="P18">
            <v>0.51941119999999996</v>
          </cell>
          <cell r="Q18">
            <v>9.618725925925925E-2</v>
          </cell>
        </row>
        <row r="19">
          <cell r="O19">
            <v>1.7</v>
          </cell>
          <cell r="P19">
            <v>0.4888576</v>
          </cell>
          <cell r="Q19">
            <v>9.0529185185185171E-2</v>
          </cell>
        </row>
        <row r="20">
          <cell r="O20">
            <v>1.8</v>
          </cell>
          <cell r="P20">
            <v>0.46169884444444448</v>
          </cell>
          <cell r="Q20">
            <v>8.5499786008230452E-2</v>
          </cell>
        </row>
        <row r="21">
          <cell r="O21">
            <v>1.9</v>
          </cell>
          <cell r="P21">
            <v>0.43739890526315794</v>
          </cell>
          <cell r="Q21">
            <v>8.0999797270955173E-2</v>
          </cell>
        </row>
        <row r="22">
          <cell r="O22">
            <v>2</v>
          </cell>
          <cell r="P22">
            <v>0.41552896</v>
          </cell>
          <cell r="Q22">
            <v>7.6949807407407408E-2</v>
          </cell>
        </row>
        <row r="23">
          <cell r="O23">
            <v>2.1</v>
          </cell>
          <cell r="P23">
            <v>0.39574186666666661</v>
          </cell>
          <cell r="Q23">
            <v>7.3285530864197521E-2</v>
          </cell>
        </row>
        <row r="24">
          <cell r="O24">
            <v>2.2000000000000002</v>
          </cell>
          <cell r="P24">
            <v>0.37775360000000002</v>
          </cell>
          <cell r="Q24">
            <v>6.9954370370370375E-2</v>
          </cell>
        </row>
        <row r="25">
          <cell r="O25">
            <v>2.2999999999999998</v>
          </cell>
          <cell r="P25">
            <v>0.36132953043478266</v>
          </cell>
          <cell r="Q25">
            <v>6.6912876006441233E-2</v>
          </cell>
        </row>
        <row r="26">
          <cell r="O26">
            <v>2.4</v>
          </cell>
          <cell r="P26">
            <v>0.34627413333333334</v>
          </cell>
          <cell r="Q26">
            <v>6.4124839506172843E-2</v>
          </cell>
        </row>
        <row r="27">
          <cell r="O27">
            <v>2.5</v>
          </cell>
          <cell r="P27">
            <v>0.33242316799999999</v>
          </cell>
          <cell r="Q27">
            <v>6.1559845925925921E-2</v>
          </cell>
        </row>
        <row r="28">
          <cell r="O28">
            <v>2.6</v>
          </cell>
          <cell r="P28">
            <v>0.31963766153846157</v>
          </cell>
          <cell r="Q28">
            <v>5.9192159544159545E-2</v>
          </cell>
        </row>
        <row r="29">
          <cell r="O29">
            <v>2.7</v>
          </cell>
          <cell r="P29">
            <v>0.30779922962962963</v>
          </cell>
          <cell r="Q29">
            <v>5.6999857338820299E-2</v>
          </cell>
        </row>
        <row r="30">
          <cell r="O30">
            <v>2.8</v>
          </cell>
          <cell r="P30">
            <v>0.29680640000000003</v>
          </cell>
          <cell r="Q30">
            <v>5.4964148148148151E-2</v>
          </cell>
        </row>
        <row r="31">
          <cell r="O31">
            <v>2.9</v>
          </cell>
          <cell r="P31">
            <v>0.28657169655172415</v>
          </cell>
          <cell r="Q31">
            <v>5.3068832694763729E-2</v>
          </cell>
        </row>
        <row r="32">
          <cell r="O32">
            <v>3</v>
          </cell>
          <cell r="P32">
            <v>0.27701930666666663</v>
          </cell>
          <cell r="Q32">
            <v>5.1299871604938263E-2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04DCC-17A2-450E-BA43-AC893C2D2967}">
  <dimension ref="A1:V32"/>
  <sheetViews>
    <sheetView tabSelected="1" zoomScale="130" zoomScaleNormal="130" workbookViewId="0">
      <selection activeCell="H8" sqref="H8"/>
    </sheetView>
  </sheetViews>
  <sheetFormatPr baseColWidth="10" defaultRowHeight="14.4" x14ac:dyDescent="0.3"/>
  <cols>
    <col min="1" max="2" width="8.77734375" style="2" customWidth="1"/>
    <col min="3" max="3" width="7.77734375" style="2" customWidth="1"/>
    <col min="4" max="4" width="1.44140625" style="2" customWidth="1"/>
    <col min="5" max="5" width="10" style="2" customWidth="1"/>
    <col min="6" max="6" width="8.33203125" style="2" customWidth="1"/>
    <col min="7" max="7" width="8.109375" style="2" customWidth="1"/>
    <col min="8" max="8" width="8.33203125" style="2" customWidth="1"/>
    <col min="9" max="9" width="2.5546875" style="2" customWidth="1"/>
    <col min="10" max="13" width="8.33203125" style="2" customWidth="1"/>
    <col min="14" max="16" width="7.77734375" style="2" customWidth="1"/>
    <col min="17" max="17" width="8.44140625" style="2" customWidth="1"/>
    <col min="18" max="20" width="8.33203125" style="2" customWidth="1"/>
    <col min="21" max="16384" width="11.5546875" style="2"/>
  </cols>
  <sheetData>
    <row r="1" spans="1:22" x14ac:dyDescent="0.3">
      <c r="A1" s="1" t="s">
        <v>0</v>
      </c>
      <c r="B1" s="1"/>
      <c r="C1" s="1"/>
      <c r="E1" s="1" t="s">
        <v>1</v>
      </c>
      <c r="F1" s="1"/>
      <c r="G1" s="1"/>
      <c r="H1" s="3"/>
      <c r="I1" s="4"/>
      <c r="J1" s="1" t="s">
        <v>2</v>
      </c>
      <c r="K1" s="1"/>
      <c r="L1" s="1"/>
      <c r="M1" s="3"/>
      <c r="O1" s="4" t="s">
        <v>3</v>
      </c>
      <c r="P1" s="4" t="s">
        <v>4</v>
      </c>
      <c r="Q1" s="2" t="s">
        <v>5</v>
      </c>
    </row>
    <row r="2" spans="1:22" x14ac:dyDescent="0.3">
      <c r="A2" s="5" t="s">
        <v>6</v>
      </c>
      <c r="B2" s="6">
        <v>1</v>
      </c>
      <c r="C2" s="5"/>
      <c r="E2" s="5" t="s">
        <v>7</v>
      </c>
      <c r="F2" s="5">
        <f>0.55*B11*B10/B9</f>
        <v>0.69813333333333338</v>
      </c>
      <c r="G2" s="5" t="s">
        <v>8</v>
      </c>
      <c r="J2" s="5" t="s">
        <v>7</v>
      </c>
      <c r="K2" s="5">
        <f>+F2</f>
        <v>0.69813333333333338</v>
      </c>
      <c r="L2" s="5" t="s">
        <v>8</v>
      </c>
      <c r="O2" s="2">
        <v>0</v>
      </c>
      <c r="P2" s="2">
        <f>+IF(O2&lt;$F$2,$B$7*$B$8*$B$9,$B$7*$B$8*$B$9*($F$2/O2)^$B$12)</f>
        <v>1.1903999999999999</v>
      </c>
      <c r="Q2" s="2">
        <f>+$B$2*P2/$B$3/$B$4/$B$5</f>
        <v>0.22044444444444442</v>
      </c>
      <c r="U2" s="2" t="s">
        <v>9</v>
      </c>
      <c r="V2" s="2" t="s">
        <v>10</v>
      </c>
    </row>
    <row r="3" spans="1:22" x14ac:dyDescent="0.3">
      <c r="A3" s="5" t="s">
        <v>11</v>
      </c>
      <c r="B3" s="6">
        <v>0.9</v>
      </c>
      <c r="C3" s="5"/>
      <c r="E3" s="5" t="s">
        <v>12</v>
      </c>
      <c r="F3" s="7">
        <v>0.45</v>
      </c>
      <c r="G3" s="5" t="s">
        <v>8</v>
      </c>
      <c r="J3" s="5" t="s">
        <v>12</v>
      </c>
      <c r="K3" s="7">
        <v>0.48</v>
      </c>
      <c r="L3" s="5" t="s">
        <v>8</v>
      </c>
      <c r="O3" s="2">
        <v>0.1</v>
      </c>
      <c r="P3" s="2">
        <f t="shared" ref="P3:P32" si="0">+IF(O3&lt;$F$2,$B$7*$B$8*$B$9,$B$7*$B$8*$B$9*($F$2/O3)^$B$12)</f>
        <v>1.1903999999999999</v>
      </c>
      <c r="Q3" s="2">
        <f t="shared" ref="Q3:Q32" si="1">+$B$2*P3/$B$3/$B$4/$B$5</f>
        <v>0.22044444444444442</v>
      </c>
      <c r="U3" s="2">
        <f>+F3</f>
        <v>0.45</v>
      </c>
      <c r="V3" s="2">
        <v>0</v>
      </c>
    </row>
    <row r="4" spans="1:22" x14ac:dyDescent="0.3">
      <c r="A4" s="5" t="s">
        <v>13</v>
      </c>
      <c r="B4" s="6">
        <v>1</v>
      </c>
      <c r="C4" s="5"/>
      <c r="E4" s="5" t="s">
        <v>4</v>
      </c>
      <c r="F4" s="5">
        <f>VLOOKUP(F3,$O$2:$P$32,2,1)</f>
        <v>1.1903999999999999</v>
      </c>
      <c r="G4" s="5"/>
      <c r="J4" s="5" t="s">
        <v>4</v>
      </c>
      <c r="K4" s="5">
        <f>VLOOKUP(K3,$O$2:$P$32,2,1)</f>
        <v>1.1903999999999999</v>
      </c>
      <c r="L4" s="5"/>
      <c r="O4" s="2">
        <v>0.2</v>
      </c>
      <c r="P4" s="2">
        <f t="shared" si="0"/>
        <v>1.1903999999999999</v>
      </c>
      <c r="Q4" s="2">
        <f t="shared" si="1"/>
        <v>0.22044444444444442</v>
      </c>
      <c r="U4" s="2">
        <f>+U3</f>
        <v>0.45</v>
      </c>
      <c r="V4" s="2">
        <f>+F4</f>
        <v>1.1903999999999999</v>
      </c>
    </row>
    <row r="5" spans="1:22" x14ac:dyDescent="0.3">
      <c r="A5" s="5" t="s">
        <v>14</v>
      </c>
      <c r="B5" s="6">
        <v>6</v>
      </c>
      <c r="C5" s="5"/>
      <c r="E5" s="8" t="s">
        <v>15</v>
      </c>
      <c r="F5" s="9">
        <f>+B2*F4/B3/B4/B5</f>
        <v>0.22044444444444442</v>
      </c>
      <c r="G5" s="10"/>
      <c r="J5" s="8" t="s">
        <v>15</v>
      </c>
      <c r="K5" s="9">
        <f>+B2*K4/B3/B4/B5</f>
        <v>0.22044444444444442</v>
      </c>
      <c r="L5" s="10"/>
      <c r="O5" s="2">
        <v>0.3</v>
      </c>
      <c r="P5" s="2">
        <f t="shared" si="0"/>
        <v>1.1903999999999999</v>
      </c>
      <c r="Q5" s="2">
        <f t="shared" si="1"/>
        <v>0.22044444444444442</v>
      </c>
    </row>
    <row r="6" spans="1:22" x14ac:dyDescent="0.3">
      <c r="A6" s="5"/>
      <c r="B6" s="5"/>
      <c r="C6" s="5"/>
      <c r="E6" s="5"/>
      <c r="F6" s="5"/>
      <c r="G6" s="5"/>
      <c r="J6" s="5"/>
      <c r="K6" s="5"/>
      <c r="L6" s="5"/>
      <c r="O6" s="2">
        <v>0.4</v>
      </c>
      <c r="P6" s="2">
        <f t="shared" si="0"/>
        <v>1.1903999999999999</v>
      </c>
      <c r="Q6" s="2">
        <f t="shared" si="1"/>
        <v>0.22044444444444442</v>
      </c>
      <c r="U6" s="2">
        <v>0</v>
      </c>
      <c r="V6" s="2">
        <f>+F4</f>
        <v>1.1903999999999999</v>
      </c>
    </row>
    <row r="7" spans="1:22" x14ac:dyDescent="0.3">
      <c r="A7" s="5" t="s">
        <v>16</v>
      </c>
      <c r="B7" s="6">
        <v>2.48</v>
      </c>
      <c r="C7" s="5"/>
      <c r="E7" s="5"/>
      <c r="F7" s="5"/>
      <c r="G7" s="5"/>
      <c r="J7" s="5"/>
      <c r="K7" s="5"/>
      <c r="L7" s="5"/>
      <c r="O7" s="2">
        <v>0.5</v>
      </c>
      <c r="P7" s="2">
        <f t="shared" si="0"/>
        <v>1.1903999999999999</v>
      </c>
      <c r="Q7" s="2">
        <f t="shared" si="1"/>
        <v>0.22044444444444442</v>
      </c>
      <c r="U7" s="2">
        <f>+U3</f>
        <v>0.45</v>
      </c>
      <c r="V7" s="2">
        <f>+F4</f>
        <v>1.1903999999999999</v>
      </c>
    </row>
    <row r="8" spans="1:22" x14ac:dyDescent="0.3">
      <c r="A8" s="5" t="s">
        <v>17</v>
      </c>
      <c r="B8" s="6">
        <v>0.4</v>
      </c>
      <c r="C8" s="5"/>
      <c r="E8" s="5"/>
      <c r="F8" s="5"/>
      <c r="G8" s="5"/>
      <c r="J8" s="5"/>
      <c r="K8" s="5"/>
      <c r="L8" s="5"/>
      <c r="O8" s="2">
        <v>0.6</v>
      </c>
      <c r="P8" s="2">
        <f t="shared" si="0"/>
        <v>1.1903999999999999</v>
      </c>
      <c r="Q8" s="2">
        <f t="shared" si="1"/>
        <v>0.22044444444444442</v>
      </c>
    </row>
    <row r="9" spans="1:22" x14ac:dyDescent="0.3">
      <c r="A9" s="5" t="s">
        <v>18</v>
      </c>
      <c r="B9" s="6">
        <v>1.2</v>
      </c>
      <c r="C9" s="5"/>
      <c r="E9" s="5"/>
      <c r="F9" s="5"/>
      <c r="G9" s="5"/>
      <c r="J9" s="5"/>
      <c r="K9" s="5"/>
      <c r="L9" s="5"/>
      <c r="O9" s="2">
        <v>0.7</v>
      </c>
      <c r="P9" s="2">
        <f t="shared" si="0"/>
        <v>1.1872256000000001</v>
      </c>
      <c r="Q9" s="2">
        <f t="shared" si="1"/>
        <v>0.2198565925925926</v>
      </c>
    </row>
    <row r="10" spans="1:22" x14ac:dyDescent="0.3">
      <c r="A10" s="5" t="s">
        <v>19</v>
      </c>
      <c r="B10" s="6">
        <v>1.19</v>
      </c>
      <c r="C10" s="5"/>
      <c r="E10" s="5"/>
      <c r="F10" s="5"/>
      <c r="G10" s="5"/>
      <c r="J10" s="5"/>
      <c r="K10" s="5"/>
      <c r="L10" s="5"/>
      <c r="O10" s="2">
        <v>0.8</v>
      </c>
      <c r="P10" s="2">
        <f t="shared" si="0"/>
        <v>1.0388223999999999</v>
      </c>
      <c r="Q10" s="2">
        <f t="shared" si="1"/>
        <v>0.1923745185185185</v>
      </c>
    </row>
    <row r="11" spans="1:22" x14ac:dyDescent="0.3">
      <c r="A11" s="5" t="s">
        <v>20</v>
      </c>
      <c r="B11" s="6">
        <v>1.28</v>
      </c>
      <c r="C11" s="5"/>
      <c r="E11" s="11"/>
      <c r="F11" s="11"/>
      <c r="G11" s="11"/>
      <c r="J11" s="11"/>
      <c r="K11" s="11"/>
      <c r="L11" s="11"/>
      <c r="O11" s="2">
        <v>0.9</v>
      </c>
      <c r="P11" s="2">
        <f t="shared" si="0"/>
        <v>0.92339768888888896</v>
      </c>
      <c r="Q11" s="2">
        <f t="shared" si="1"/>
        <v>0.1709995720164609</v>
      </c>
    </row>
    <row r="12" spans="1:22" x14ac:dyDescent="0.3">
      <c r="A12" s="5" t="s">
        <v>21</v>
      </c>
      <c r="B12" s="6">
        <v>1</v>
      </c>
      <c r="C12" s="5"/>
      <c r="E12" s="12"/>
      <c r="F12" s="12" t="s">
        <v>22</v>
      </c>
      <c r="G12" s="12" t="s">
        <v>23</v>
      </c>
      <c r="H12" s="12"/>
      <c r="I12" s="13"/>
      <c r="J12" s="12"/>
      <c r="K12" s="12" t="s">
        <v>22</v>
      </c>
      <c r="L12" s="12" t="s">
        <v>23</v>
      </c>
      <c r="M12" s="12"/>
      <c r="O12" s="2">
        <v>1</v>
      </c>
      <c r="P12" s="2">
        <f t="shared" si="0"/>
        <v>0.83105792000000001</v>
      </c>
      <c r="Q12" s="2">
        <f t="shared" si="1"/>
        <v>0.15389961481481482</v>
      </c>
    </row>
    <row r="13" spans="1:22" x14ac:dyDescent="0.3">
      <c r="A13" s="5"/>
      <c r="B13" s="5"/>
      <c r="C13" s="5"/>
      <c r="E13" s="5" t="s">
        <v>24</v>
      </c>
      <c r="F13" s="14">
        <v>2.5999999999999999E-3</v>
      </c>
      <c r="G13" s="15">
        <f>+F13*0.75*$B$5</f>
        <v>1.1699999999999999E-2</v>
      </c>
      <c r="H13" s="16" t="str">
        <f>+IF(G13&lt;2%,"OK","NO")</f>
        <v>OK</v>
      </c>
      <c r="I13" s="17"/>
      <c r="J13" s="5" t="s">
        <v>24</v>
      </c>
      <c r="K13" s="14">
        <v>3.2000000000000002E-3</v>
      </c>
      <c r="L13" s="15">
        <f>+K13*0.75*$B$5</f>
        <v>1.4400000000000001E-2</v>
      </c>
      <c r="M13" s="16" t="str">
        <f>+IF(L13&lt;2%,"OK","NO")</f>
        <v>OK</v>
      </c>
      <c r="O13" s="2">
        <v>1.1000000000000001</v>
      </c>
      <c r="P13" s="2">
        <f t="shared" si="0"/>
        <v>0.75550720000000005</v>
      </c>
      <c r="Q13" s="2">
        <f t="shared" si="1"/>
        <v>0.13990874074074075</v>
      </c>
    </row>
    <row r="14" spans="1:22" x14ac:dyDescent="0.3">
      <c r="A14" s="5"/>
      <c r="B14" s="5"/>
      <c r="C14" s="5"/>
      <c r="E14" s="5" t="s">
        <v>25</v>
      </c>
      <c r="F14" s="14">
        <v>2.2000000000000001E-3</v>
      </c>
      <c r="G14" s="15">
        <f>+F14*0.75*$B$5</f>
        <v>9.8999999999999991E-3</v>
      </c>
      <c r="H14" s="16" t="str">
        <f>+IF(G14&lt;2%,"OK","NO")</f>
        <v>OK</v>
      </c>
      <c r="I14" s="17"/>
      <c r="J14" s="5" t="s">
        <v>25</v>
      </c>
      <c r="K14" s="14">
        <v>2.5000000000000001E-3</v>
      </c>
      <c r="L14" s="15">
        <f>+K14*0.75*$B$5</f>
        <v>1.125E-2</v>
      </c>
      <c r="M14" s="16" t="str">
        <f>+IF(L14&lt;2%,"OK","NO")</f>
        <v>OK</v>
      </c>
      <c r="O14" s="2">
        <v>1.2</v>
      </c>
      <c r="P14" s="2">
        <f t="shared" si="0"/>
        <v>0.69254826666666669</v>
      </c>
      <c r="Q14" s="2">
        <f t="shared" si="1"/>
        <v>0.12824967901234569</v>
      </c>
    </row>
    <row r="15" spans="1:22" x14ac:dyDescent="0.3">
      <c r="A15" s="5"/>
      <c r="B15" s="5"/>
      <c r="C15" s="5"/>
      <c r="E15" s="5"/>
      <c r="F15" s="5"/>
      <c r="G15" s="5"/>
      <c r="J15" s="5"/>
      <c r="K15" s="5"/>
      <c r="L15" s="5"/>
      <c r="O15" s="2">
        <v>1.3</v>
      </c>
      <c r="P15" s="2">
        <f t="shared" si="0"/>
        <v>0.63927532307692314</v>
      </c>
      <c r="Q15" s="2">
        <f t="shared" si="1"/>
        <v>0.11838431908831909</v>
      </c>
    </row>
    <row r="16" spans="1:22" x14ac:dyDescent="0.3">
      <c r="A16" s="5"/>
      <c r="B16" s="5"/>
      <c r="C16" s="5"/>
      <c r="E16" s="5"/>
      <c r="F16" s="5"/>
      <c r="G16" s="5"/>
      <c r="J16" s="5"/>
      <c r="K16" s="5"/>
      <c r="L16" s="5"/>
      <c r="O16" s="2">
        <v>1.4</v>
      </c>
      <c r="P16" s="2">
        <f t="shared" si="0"/>
        <v>0.59361280000000005</v>
      </c>
      <c r="Q16" s="2">
        <f t="shared" si="1"/>
        <v>0.1099282962962963</v>
      </c>
    </row>
    <row r="17" spans="1:17" x14ac:dyDescent="0.3">
      <c r="A17" s="5"/>
      <c r="B17" s="5"/>
      <c r="C17" s="5"/>
      <c r="E17" s="5"/>
      <c r="F17" s="5"/>
      <c r="G17" s="5"/>
      <c r="J17" s="5"/>
      <c r="K17" s="5"/>
      <c r="L17" s="5"/>
      <c r="O17" s="2">
        <v>1.5</v>
      </c>
      <c r="P17" s="2">
        <f t="shared" si="0"/>
        <v>0.55403861333333326</v>
      </c>
      <c r="Q17" s="2">
        <f t="shared" si="1"/>
        <v>0.10259974320987653</v>
      </c>
    </row>
    <row r="18" spans="1:17" x14ac:dyDescent="0.3">
      <c r="O18" s="2">
        <v>1.6</v>
      </c>
      <c r="P18" s="2">
        <f t="shared" si="0"/>
        <v>0.51941119999999996</v>
      </c>
      <c r="Q18" s="2">
        <f t="shared" si="1"/>
        <v>9.618725925925925E-2</v>
      </c>
    </row>
    <row r="19" spans="1:17" x14ac:dyDescent="0.3">
      <c r="O19" s="2">
        <v>1.7</v>
      </c>
      <c r="P19" s="2">
        <f t="shared" si="0"/>
        <v>0.4888576</v>
      </c>
      <c r="Q19" s="2">
        <f t="shared" si="1"/>
        <v>9.0529185185185171E-2</v>
      </c>
    </row>
    <row r="20" spans="1:17" x14ac:dyDescent="0.3">
      <c r="O20" s="2">
        <v>1.8</v>
      </c>
      <c r="P20" s="2">
        <f t="shared" si="0"/>
        <v>0.46169884444444448</v>
      </c>
      <c r="Q20" s="2">
        <f t="shared" si="1"/>
        <v>8.5499786008230452E-2</v>
      </c>
    </row>
    <row r="21" spans="1:17" x14ac:dyDescent="0.3">
      <c r="O21" s="2">
        <v>1.9</v>
      </c>
      <c r="P21" s="2">
        <f t="shared" si="0"/>
        <v>0.43739890526315794</v>
      </c>
      <c r="Q21" s="2">
        <f t="shared" si="1"/>
        <v>8.0999797270955173E-2</v>
      </c>
    </row>
    <row r="22" spans="1:17" x14ac:dyDescent="0.3">
      <c r="O22" s="2">
        <v>2</v>
      </c>
      <c r="P22" s="2">
        <f t="shared" si="0"/>
        <v>0.41552896</v>
      </c>
      <c r="Q22" s="2">
        <f t="shared" si="1"/>
        <v>7.6949807407407408E-2</v>
      </c>
    </row>
    <row r="23" spans="1:17" x14ac:dyDescent="0.3">
      <c r="O23" s="2">
        <v>2.1</v>
      </c>
      <c r="P23" s="2">
        <f t="shared" si="0"/>
        <v>0.39574186666666661</v>
      </c>
      <c r="Q23" s="2">
        <f t="shared" si="1"/>
        <v>7.3285530864197521E-2</v>
      </c>
    </row>
    <row r="24" spans="1:17" x14ac:dyDescent="0.3">
      <c r="O24" s="2">
        <v>2.2000000000000002</v>
      </c>
      <c r="P24" s="2">
        <f t="shared" si="0"/>
        <v>0.37775360000000002</v>
      </c>
      <c r="Q24" s="2">
        <f t="shared" si="1"/>
        <v>6.9954370370370375E-2</v>
      </c>
    </row>
    <row r="25" spans="1:17" x14ac:dyDescent="0.3">
      <c r="O25" s="2">
        <v>2.2999999999999998</v>
      </c>
      <c r="P25" s="2">
        <f t="shared" si="0"/>
        <v>0.36132953043478266</v>
      </c>
      <c r="Q25" s="2">
        <f t="shared" si="1"/>
        <v>6.6912876006441233E-2</v>
      </c>
    </row>
    <row r="26" spans="1:17" x14ac:dyDescent="0.3">
      <c r="O26" s="2">
        <v>2.4</v>
      </c>
      <c r="P26" s="2">
        <f t="shared" si="0"/>
        <v>0.34627413333333334</v>
      </c>
      <c r="Q26" s="2">
        <f t="shared" si="1"/>
        <v>6.4124839506172843E-2</v>
      </c>
    </row>
    <row r="27" spans="1:17" x14ac:dyDescent="0.3">
      <c r="O27" s="2">
        <v>2.5</v>
      </c>
      <c r="P27" s="2">
        <f t="shared" si="0"/>
        <v>0.33242316799999999</v>
      </c>
      <c r="Q27" s="2">
        <f t="shared" si="1"/>
        <v>6.1559845925925921E-2</v>
      </c>
    </row>
    <row r="28" spans="1:17" x14ac:dyDescent="0.3">
      <c r="O28" s="2">
        <v>2.6</v>
      </c>
      <c r="P28" s="2">
        <f t="shared" si="0"/>
        <v>0.31963766153846157</v>
      </c>
      <c r="Q28" s="2">
        <f t="shared" si="1"/>
        <v>5.9192159544159545E-2</v>
      </c>
    </row>
    <row r="29" spans="1:17" x14ac:dyDescent="0.3">
      <c r="O29" s="2">
        <v>2.7</v>
      </c>
      <c r="P29" s="2">
        <f t="shared" si="0"/>
        <v>0.30779922962962963</v>
      </c>
      <c r="Q29" s="2">
        <f t="shared" si="1"/>
        <v>5.6999857338820299E-2</v>
      </c>
    </row>
    <row r="30" spans="1:17" x14ac:dyDescent="0.3">
      <c r="O30" s="2">
        <v>2.8</v>
      </c>
      <c r="P30" s="2">
        <f t="shared" si="0"/>
        <v>0.29680640000000003</v>
      </c>
      <c r="Q30" s="2">
        <f t="shared" si="1"/>
        <v>5.4964148148148151E-2</v>
      </c>
    </row>
    <row r="31" spans="1:17" x14ac:dyDescent="0.3">
      <c r="O31" s="2">
        <v>2.9</v>
      </c>
      <c r="P31" s="2">
        <f t="shared" si="0"/>
        <v>0.28657169655172415</v>
      </c>
      <c r="Q31" s="2">
        <f t="shared" si="1"/>
        <v>5.3068832694763729E-2</v>
      </c>
    </row>
    <row r="32" spans="1:17" x14ac:dyDescent="0.3">
      <c r="O32" s="2">
        <v>3</v>
      </c>
      <c r="P32" s="2">
        <f t="shared" si="0"/>
        <v>0.27701930666666663</v>
      </c>
      <c r="Q32" s="2">
        <f t="shared" si="1"/>
        <v>5.1299871604938263E-2</v>
      </c>
    </row>
  </sheetData>
  <mergeCells count="5">
    <mergeCell ref="A1:C1"/>
    <mergeCell ref="E1:G1"/>
    <mergeCell ref="J1:L1"/>
    <mergeCell ref="F5:G5"/>
    <mergeCell ref="K5:L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SISMICA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2023</dc:creator>
  <cp:lastModifiedBy>USUARIO 2023</cp:lastModifiedBy>
  <dcterms:created xsi:type="dcterms:W3CDTF">2026-03-14T15:26:20Z</dcterms:created>
  <dcterms:modified xsi:type="dcterms:W3CDTF">2026-03-14T15:26:49Z</dcterms:modified>
</cp:coreProperties>
</file>