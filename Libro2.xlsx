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UARIO 2023\Desktop\INTERFAZ\"/>
    </mc:Choice>
  </mc:AlternateContent>
  <xr:revisionPtr revIDLastSave="0" documentId="13_ncr:1_{07F43C60-DE16-4ED1-AF29-5FD5B888CAA9}" xr6:coauthVersionLast="47" xr6:coauthVersionMax="47" xr10:uidLastSave="{00000000-0000-0000-0000-000000000000}"/>
  <bookViews>
    <workbookView xWindow="-108" yWindow="-108" windowWidth="23256" windowHeight="12456" xr2:uid="{09297B63-1CA1-4AD8-AACF-722305100ADB}"/>
  </bookViews>
  <sheets>
    <sheet name="VIGAS horm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H2" i="2" s="1"/>
  <c r="H3" i="2"/>
  <c r="C4" i="2"/>
  <c r="C5" i="2"/>
  <c r="C6" i="2"/>
  <c r="C7" i="2"/>
  <c r="M9" i="2"/>
  <c r="B11" i="2"/>
  <c r="C11" i="2"/>
  <c r="D11" i="2"/>
  <c r="C12" i="2"/>
  <c r="H12" i="2"/>
  <c r="I12" i="2"/>
  <c r="M12" i="2"/>
  <c r="C13" i="2"/>
  <c r="H13" i="2"/>
  <c r="M14" i="2"/>
  <c r="H16" i="2"/>
  <c r="M17" i="2"/>
  <c r="C20" i="2"/>
  <c r="C21" i="2"/>
  <c r="H26" i="2"/>
  <c r="M3" i="2" l="1"/>
  <c r="M13" i="2"/>
  <c r="H4" i="2"/>
  <c r="M6" i="2"/>
  <c r="H14" i="2"/>
  <c r="H17" i="2" s="1"/>
  <c r="H23" i="2" l="1"/>
  <c r="I23" i="2" s="1"/>
  <c r="H10" i="2"/>
  <c r="H18" i="2"/>
  <c r="H19" i="2" s="1"/>
  <c r="H20" i="2" s="1"/>
  <c r="H30" i="2" l="1"/>
  <c r="H5" i="2" s="1"/>
  <c r="H21" i="2"/>
  <c r="I21" i="2" s="1"/>
  <c r="H24" i="2"/>
  <c r="H27" i="2" s="1"/>
  <c r="H28" i="2" s="1"/>
  <c r="M18" i="2"/>
  <c r="H31" i="2" l="1"/>
  <c r="H6" i="2"/>
  <c r="M19" i="2"/>
  <c r="M4" i="2" s="1"/>
  <c r="M5" i="2" s="1"/>
  <c r="M7" i="2" s="1"/>
  <c r="M10" i="2" s="1"/>
  <c r="M11" i="2" s="1"/>
  <c r="H29" i="2"/>
  <c r="I29" i="2" s="1"/>
</calcChain>
</file>

<file path=xl/sharedStrings.xml><?xml version="1.0" encoding="utf-8"?>
<sst xmlns="http://schemas.openxmlformats.org/spreadsheetml/2006/main" count="170" uniqueCount="119">
  <si>
    <t>m</t>
  </si>
  <si>
    <t>Lmax vol</t>
  </si>
  <si>
    <t>Longitud máximo de un volado para esa viga</t>
  </si>
  <si>
    <t>cm</t>
  </si>
  <si>
    <t>a</t>
  </si>
  <si>
    <t xml:space="preserve">Bloque del hormigon </t>
  </si>
  <si>
    <t>Cuant</t>
  </si>
  <si>
    <t>Cuantía debe ser mayor a cuantía 1/2</t>
  </si>
  <si>
    <t>cm2</t>
  </si>
  <si>
    <t>As total</t>
  </si>
  <si>
    <t>Aréa total de varillas (+)</t>
  </si>
  <si>
    <t>u</t>
  </si>
  <si>
    <t>Num</t>
  </si>
  <si>
    <t>Numero de varillas</t>
  </si>
  <si>
    <t>Ab</t>
  </si>
  <si>
    <t>Area de la varilla</t>
  </si>
  <si>
    <t>mm</t>
  </si>
  <si>
    <t>fi</t>
  </si>
  <si>
    <t>Diametro de la varilla</t>
  </si>
  <si>
    <t>As(+)</t>
  </si>
  <si>
    <t>Acero mínomo positivo (+)</t>
  </si>
  <si>
    <t>sep</t>
  </si>
  <si>
    <t>Separación es mayor entre fi varilla y 2.54cm</t>
  </si>
  <si>
    <t>Zona media 0.75x P balance</t>
  </si>
  <si>
    <t>Cuantía debe ser menor a cuantia máxima</t>
  </si>
  <si>
    <t>pmax</t>
  </si>
  <si>
    <t>Zona alta 0.50 XP balance</t>
  </si>
  <si>
    <t>Acero total (Acero minimo + Acero negativo)</t>
  </si>
  <si>
    <t>pb</t>
  </si>
  <si>
    <t>Cuantía balance</t>
  </si>
  <si>
    <t>t-m</t>
  </si>
  <si>
    <t>Mpr(+)</t>
  </si>
  <si>
    <t>Momento probable positivo</t>
  </si>
  <si>
    <t>Número de varillas del acero negativo</t>
  </si>
  <si>
    <t>Mpr(-)</t>
  </si>
  <si>
    <t>Momento probable negativo</t>
  </si>
  <si>
    <t>As(-)</t>
  </si>
  <si>
    <t>Acero mínomo en la viga Lv (negativo)</t>
  </si>
  <si>
    <t>bcol</t>
  </si>
  <si>
    <t>Número de varillas con el Asmin</t>
  </si>
  <si>
    <t>kg/cm2</t>
  </si>
  <si>
    <t>fy</t>
  </si>
  <si>
    <t>Resistencia del acero</t>
  </si>
  <si>
    <t>fc</t>
  </si>
  <si>
    <t>Resistencia del concreto</t>
  </si>
  <si>
    <t>Diametro de la varilla longitudinal en vigas</t>
  </si>
  <si>
    <t>Alta</t>
  </si>
  <si>
    <t>Z sismica</t>
  </si>
  <si>
    <t>Zona alta y media</t>
  </si>
  <si>
    <t>smax</t>
  </si>
  <si>
    <t>Separacion mázima zona central</t>
  </si>
  <si>
    <t>Asmin</t>
  </si>
  <si>
    <t>Acero mínmo en la viga Lv (positivo)</t>
  </si>
  <si>
    <t>Z centrl</t>
  </si>
  <si>
    <t>Distancia zona central</t>
  </si>
  <si>
    <t>d</t>
  </si>
  <si>
    <t>t/m2</t>
  </si>
  <si>
    <t>Cu</t>
  </si>
  <si>
    <t>Carga mayorada</t>
  </si>
  <si>
    <t>Zprot</t>
  </si>
  <si>
    <t>Distancia de las zonas protegidas</t>
  </si>
  <si>
    <t>rel</t>
  </si>
  <si>
    <t>Relación b/hdef (entre 1.1 y 1.6)</t>
  </si>
  <si>
    <t>Cv</t>
  </si>
  <si>
    <t>Carga viva</t>
  </si>
  <si>
    <t>Separación estribos (comportamiento) nec 15</t>
  </si>
  <si>
    <t>hdef</t>
  </si>
  <si>
    <t>hdef=Altura minima definida diseñador</t>
  </si>
  <si>
    <t>Carga muerta</t>
  </si>
  <si>
    <t>s</t>
  </si>
  <si>
    <t>Separación de cada estribo (diseño)</t>
  </si>
  <si>
    <t>hmin</t>
  </si>
  <si>
    <t>h=Altura minima (fórrmula Chavez 2025)</t>
  </si>
  <si>
    <t>Factor mayoración (Cu)</t>
  </si>
  <si>
    <t>rec</t>
  </si>
  <si>
    <t>r=recubirmiento Sierra</t>
  </si>
  <si>
    <t>Varilla a elegir</t>
  </si>
  <si>
    <t>b</t>
  </si>
  <si>
    <t>b=Ancho minimo NEC (25 cm)</t>
  </si>
  <si>
    <t>Vivienda</t>
  </si>
  <si>
    <t>Uso</t>
  </si>
  <si>
    <t>Uso de losa</t>
  </si>
  <si>
    <t>t</t>
  </si>
  <si>
    <t>Vs</t>
  </si>
  <si>
    <t>Cortante del acero (estribos)</t>
  </si>
  <si>
    <t>Datos viga</t>
  </si>
  <si>
    <t>He</t>
  </si>
  <si>
    <t>Altura entrepiso</t>
  </si>
  <si>
    <t>Vc</t>
  </si>
  <si>
    <t>Cortante del concreto</t>
  </si>
  <si>
    <t>D/C</t>
  </si>
  <si>
    <t>Demanda / Capacidad</t>
  </si>
  <si>
    <t>Pisos</t>
  </si>
  <si>
    <t>Número de pisos</t>
  </si>
  <si>
    <t>Vu</t>
  </si>
  <si>
    <t>Cortante total (columna y viga)</t>
  </si>
  <si>
    <t>Mres</t>
  </si>
  <si>
    <t>Momento resistente (Demanda)</t>
  </si>
  <si>
    <t>L4</t>
  </si>
  <si>
    <t>L4 (tranvsersal)</t>
  </si>
  <si>
    <t>Vum</t>
  </si>
  <si>
    <t>Cortante por sismo</t>
  </si>
  <si>
    <t>Mdis</t>
  </si>
  <si>
    <r>
      <t xml:space="preserve">Momento diseño (0.65; 0.85; Cu; lt; lv; bx) </t>
    </r>
    <r>
      <rPr>
        <b/>
        <sz val="8"/>
        <color theme="1"/>
        <rFont val="Century Gothic"/>
        <family val="2"/>
      </rPr>
      <t>C</t>
    </r>
  </si>
  <si>
    <t>L3</t>
  </si>
  <si>
    <t>L3 (transversal)</t>
  </si>
  <si>
    <t>Vug</t>
  </si>
  <si>
    <t>Cortante por gravedad (verticales)</t>
  </si>
  <si>
    <t>Lt</t>
  </si>
  <si>
    <t>Promedio longitudes vigas transversales (L3 y L4)</t>
  </si>
  <si>
    <t>L2</t>
  </si>
  <si>
    <t>L2 en x</t>
  </si>
  <si>
    <t>Cortante</t>
  </si>
  <si>
    <t>Lv</t>
  </si>
  <si>
    <t>Longitud de viga con mayor luz (L1 y L2)</t>
  </si>
  <si>
    <t>L1</t>
  </si>
  <si>
    <t>L1 en x</t>
  </si>
  <si>
    <t>Viga</t>
  </si>
  <si>
    <t>Datos Arq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</si>
</sst>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entury Gothic"/>
      <family val="2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sz val="8"/>
      <color theme="1"/>
      <name val="Century Gothic"/>
      <family val="2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2" fontId="0" fillId="0" borderId="0" xfId="0" applyNumberFormat="1" applyAlignment="1">
      <alignment horizontal="center"/>
    </xf>
    <xf numFmtId="2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left"/>
    </xf>
    <xf numFmtId="2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5" fillId="2" borderId="1" xfId="0" applyNumberFormat="1" applyFont="1" applyFill="1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10" fontId="4" fillId="0" borderId="1" xfId="1" applyNumberFormat="1" applyFont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2" fillId="6" borderId="2" xfId="0" applyNumberFormat="1" applyFont="1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2" fontId="0" fillId="5" borderId="3" xfId="0" applyNumberFormat="1" applyFill="1" applyBorder="1" applyAlignment="1">
      <alignment horizontal="center"/>
    </xf>
    <xf numFmtId="2" fontId="0" fillId="5" borderId="4" xfId="0" applyNumberFormat="1" applyFill="1" applyBorder="1" applyAlignment="1">
      <alignment horizontal="center"/>
    </xf>
    <xf numFmtId="2" fontId="4" fillId="7" borderId="1" xfId="0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2" fontId="4" fillId="3" borderId="3" xfId="0" applyNumberFormat="1" applyFont="1" applyFill="1" applyBorder="1" applyAlignment="1">
      <alignment horizontal="center"/>
    </xf>
    <xf numFmtId="2" fontId="4" fillId="3" borderId="4" xfId="0" applyNumberFormat="1" applyFont="1" applyFill="1" applyBorder="1" applyAlignment="1">
      <alignment horizontal="center"/>
    </xf>
    <xf numFmtId="2" fontId="6" fillId="0" borderId="0" xfId="0" applyNumberFormat="1" applyFont="1" applyAlignment="1">
      <alignment horizontal="left"/>
    </xf>
    <xf numFmtId="1" fontId="4" fillId="0" borderId="1" xfId="0" applyNumberFormat="1" applyFon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2" fontId="4" fillId="7" borderId="5" xfId="0" applyNumberFormat="1" applyFont="1" applyFill="1" applyBorder="1" applyAlignment="1">
      <alignment horizontal="center"/>
    </xf>
    <xf numFmtId="2" fontId="0" fillId="0" borderId="5" xfId="0" applyNumberFormat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%202023/Desktop/Henrry%20Lojan/INGENIERIA%20ESTRUCTURAL/Modelo%20estructural%20ETABS/HOJA%20ELECTRONIC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sa horm"/>
      <sheetName val="COL horm"/>
      <sheetName val="VIGAS MET"/>
      <sheetName val="COL MET"/>
      <sheetName val="SISMICA"/>
      <sheetName val="Hoja1"/>
      <sheetName val="CIM"/>
      <sheetName val="DATOS MEMORIA"/>
      <sheetName val="DATOS SISMICOS"/>
      <sheetName val="Hoja4"/>
    </sheetNames>
    <sheetDataSet>
      <sheetData sheetId="0">
        <row r="2">
          <cell r="C2">
            <v>5.5</v>
          </cell>
        </row>
        <row r="3">
          <cell r="C3">
            <v>4.5</v>
          </cell>
        </row>
        <row r="4">
          <cell r="C4">
            <v>4.8</v>
          </cell>
        </row>
        <row r="5">
          <cell r="C5">
            <v>4.2</v>
          </cell>
        </row>
        <row r="6">
          <cell r="C6">
            <v>2</v>
          </cell>
        </row>
        <row r="7">
          <cell r="C7">
            <v>2.6</v>
          </cell>
        </row>
        <row r="15">
          <cell r="B15" t="str">
            <v>Cm</v>
          </cell>
          <cell r="C15">
            <v>0.70279999999999998</v>
          </cell>
          <cell r="D15" t="str">
            <v>t/m2</v>
          </cell>
        </row>
      </sheetData>
      <sheetData sheetId="1">
        <row r="9">
          <cell r="H9">
            <v>40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B1C7D-C00D-4A32-B430-B1315DEFC530}">
  <dimension ref="A1:Q31"/>
  <sheetViews>
    <sheetView tabSelected="1" topLeftCell="A7" zoomScale="120" zoomScaleNormal="120" workbookViewId="0">
      <selection activeCell="H12" sqref="H12"/>
    </sheetView>
  </sheetViews>
  <sheetFormatPr baseColWidth="10" defaultRowHeight="14.4" x14ac:dyDescent="0.3"/>
  <cols>
    <col min="1" max="1" width="21.33203125" style="3" customWidth="1"/>
    <col min="2" max="3" width="8.77734375" style="1" customWidth="1"/>
    <col min="4" max="4" width="8.33203125" style="1" customWidth="1"/>
    <col min="5" max="5" width="1.33203125" style="1" customWidth="1"/>
    <col min="6" max="6" width="34" style="3" customWidth="1"/>
    <col min="7" max="7" width="9.109375" style="1" customWidth="1"/>
    <col min="8" max="8" width="8.6640625" style="1" customWidth="1"/>
    <col min="9" max="9" width="7.33203125" style="1" customWidth="1"/>
    <col min="10" max="10" width="1.33203125" style="1" customWidth="1"/>
    <col min="11" max="11" width="34.21875" style="2" customWidth="1"/>
    <col min="12" max="14" width="8.5546875" style="1" customWidth="1"/>
    <col min="15" max="15" width="1.88671875" style="1" customWidth="1"/>
    <col min="16" max="16" width="10.21875" style="1" customWidth="1"/>
    <col min="17" max="19" width="7.77734375" style="1" customWidth="1"/>
    <col min="20" max="16384" width="11.5546875" style="1"/>
  </cols>
  <sheetData>
    <row r="1" spans="1:17" x14ac:dyDescent="0.3">
      <c r="B1" s="20" t="s">
        <v>118</v>
      </c>
      <c r="C1" s="20"/>
      <c r="D1" s="20"/>
      <c r="G1" s="20" t="s">
        <v>117</v>
      </c>
      <c r="H1" s="20"/>
      <c r="I1" s="20"/>
      <c r="J1" s="20"/>
      <c r="K1" s="20"/>
      <c r="L1" s="20"/>
      <c r="M1" s="20"/>
      <c r="N1" s="20"/>
    </row>
    <row r="2" spans="1:17" x14ac:dyDescent="0.3">
      <c r="A2" s="3" t="s">
        <v>116</v>
      </c>
      <c r="B2" s="6" t="s">
        <v>115</v>
      </c>
      <c r="C2" s="6">
        <f>+'[1]losa horm'!C2</f>
        <v>5.5</v>
      </c>
      <c r="D2" s="6" t="s">
        <v>0</v>
      </c>
      <c r="F2" s="3" t="s">
        <v>114</v>
      </c>
      <c r="G2" s="28" t="s">
        <v>113</v>
      </c>
      <c r="H2" s="28">
        <f>+MAX(C2:C3)</f>
        <v>5.5</v>
      </c>
      <c r="I2" s="28" t="s">
        <v>0</v>
      </c>
      <c r="L2" s="27" t="s">
        <v>112</v>
      </c>
      <c r="M2" s="27"/>
      <c r="N2" s="27"/>
    </row>
    <row r="3" spans="1:17" x14ac:dyDescent="0.3">
      <c r="A3" s="3" t="s">
        <v>111</v>
      </c>
      <c r="B3" s="6" t="s">
        <v>110</v>
      </c>
      <c r="C3" s="6">
        <f>+'[1]losa horm'!C3</f>
        <v>4.5</v>
      </c>
      <c r="D3" s="6" t="s">
        <v>0</v>
      </c>
      <c r="F3" s="3" t="s">
        <v>109</v>
      </c>
      <c r="G3" s="26" t="s">
        <v>108</v>
      </c>
      <c r="H3" s="26">
        <f>+AVERAGE(C4:C5)</f>
        <v>4.5</v>
      </c>
      <c r="I3" s="26" t="s">
        <v>0</v>
      </c>
      <c r="K3" s="3" t="s">
        <v>107</v>
      </c>
      <c r="L3" s="6" t="s">
        <v>106</v>
      </c>
      <c r="M3" s="6">
        <f>+(2*H2-H3)*H3*C13/4</f>
        <v>8.5070699999999988</v>
      </c>
      <c r="N3" s="6" t="s">
        <v>82</v>
      </c>
    </row>
    <row r="4" spans="1:17" x14ac:dyDescent="0.3">
      <c r="A4" s="3" t="s">
        <v>105</v>
      </c>
      <c r="B4" s="6" t="s">
        <v>104</v>
      </c>
      <c r="C4" s="6">
        <f>+'[1]losa horm'!C4</f>
        <v>4.8</v>
      </c>
      <c r="D4" s="6" t="s">
        <v>0</v>
      </c>
      <c r="F4" s="3" t="s">
        <v>103</v>
      </c>
      <c r="G4" s="9" t="s">
        <v>102</v>
      </c>
      <c r="H4" s="9">
        <f>+C13*H3*(H2-0.3)^2 /8 *0.65*0.85*1.1</f>
        <v>10.753957328400002</v>
      </c>
      <c r="I4" s="9" t="s">
        <v>30</v>
      </c>
      <c r="K4" s="3" t="s">
        <v>101</v>
      </c>
      <c r="L4" s="10" t="s">
        <v>100</v>
      </c>
      <c r="M4" s="6">
        <f>+(M18+M19)/(H2-M17-H11/25)</f>
        <v>7.5995033600000008</v>
      </c>
      <c r="N4" s="6" t="s">
        <v>82</v>
      </c>
      <c r="P4" s="21"/>
    </row>
    <row r="5" spans="1:17" x14ac:dyDescent="0.3">
      <c r="A5" s="3" t="s">
        <v>99</v>
      </c>
      <c r="B5" s="6" t="s">
        <v>98</v>
      </c>
      <c r="C5" s="6">
        <f>+'[1]losa horm'!C5</f>
        <v>4.2</v>
      </c>
      <c r="D5" s="6" t="s">
        <v>0</v>
      </c>
      <c r="F5" s="3" t="s">
        <v>97</v>
      </c>
      <c r="G5" s="9" t="s">
        <v>96</v>
      </c>
      <c r="H5" s="9">
        <f>0.9*(H20*C17*(H13-H30/2))/100000</f>
        <v>12.062756397176468</v>
      </c>
      <c r="I5" s="9" t="s">
        <v>30</v>
      </c>
      <c r="K5" s="3" t="s">
        <v>95</v>
      </c>
      <c r="L5" s="25" t="s">
        <v>94</v>
      </c>
      <c r="M5" s="4">
        <f>SUM(M3:M4)</f>
        <v>16.106573359999999</v>
      </c>
      <c r="N5" s="4" t="s">
        <v>82</v>
      </c>
    </row>
    <row r="6" spans="1:17" x14ac:dyDescent="0.3">
      <c r="A6" s="3" t="s">
        <v>93</v>
      </c>
      <c r="B6" s="6" t="s">
        <v>92</v>
      </c>
      <c r="C6" s="10">
        <f>+'[1]losa horm'!C6</f>
        <v>2</v>
      </c>
      <c r="D6" s="6" t="s">
        <v>11</v>
      </c>
      <c r="F6" s="24" t="s">
        <v>91</v>
      </c>
      <c r="G6" s="9" t="s">
        <v>90</v>
      </c>
      <c r="H6" s="23">
        <f>+H4/H5</f>
        <v>0.89150082902421734</v>
      </c>
      <c r="I6" s="22"/>
      <c r="K6" s="3" t="s">
        <v>89</v>
      </c>
      <c r="L6" s="6" t="s">
        <v>88</v>
      </c>
      <c r="M6" s="6">
        <f>0.53*C16^0.5*H8*H13/1000</f>
        <v>8.2257401824395124</v>
      </c>
      <c r="N6" s="6" t="s">
        <v>82</v>
      </c>
      <c r="Q6" s="21"/>
    </row>
    <row r="7" spans="1:17" x14ac:dyDescent="0.3">
      <c r="A7" s="3" t="s">
        <v>87</v>
      </c>
      <c r="B7" s="6" t="s">
        <v>86</v>
      </c>
      <c r="C7" s="6">
        <f>+'[1]losa horm'!C7</f>
        <v>2.6</v>
      </c>
      <c r="D7" s="6" t="s">
        <v>0</v>
      </c>
      <c r="G7" s="20" t="s">
        <v>85</v>
      </c>
      <c r="H7" s="20"/>
      <c r="I7" s="20"/>
      <c r="K7" s="3" t="s">
        <v>84</v>
      </c>
      <c r="L7" s="4" t="s">
        <v>83</v>
      </c>
      <c r="M7" s="4">
        <f>+(M5-0.75*M6)/0.75</f>
        <v>13.249690964227151</v>
      </c>
      <c r="N7" s="4" t="s">
        <v>82</v>
      </c>
    </row>
    <row r="8" spans="1:17" x14ac:dyDescent="0.3">
      <c r="A8" s="3" t="s">
        <v>81</v>
      </c>
      <c r="B8" s="6" t="s">
        <v>80</v>
      </c>
      <c r="C8" s="19" t="s">
        <v>79</v>
      </c>
      <c r="D8" s="18"/>
      <c r="F8" s="3" t="s">
        <v>78</v>
      </c>
      <c r="G8" s="6" t="s">
        <v>77</v>
      </c>
      <c r="H8" s="11">
        <v>30</v>
      </c>
      <c r="I8" s="6" t="s">
        <v>3</v>
      </c>
      <c r="K8" s="3" t="s">
        <v>76</v>
      </c>
      <c r="L8" s="6" t="s">
        <v>17</v>
      </c>
      <c r="M8" s="11">
        <v>10</v>
      </c>
      <c r="N8" s="6" t="s">
        <v>16</v>
      </c>
    </row>
    <row r="9" spans="1:17" x14ac:dyDescent="0.3">
      <c r="B9" s="6"/>
      <c r="C9" s="6"/>
      <c r="D9" s="6"/>
      <c r="F9" s="3" t="s">
        <v>75</v>
      </c>
      <c r="G9" s="6" t="s">
        <v>74</v>
      </c>
      <c r="H9" s="17">
        <v>2.5</v>
      </c>
      <c r="I9" s="6" t="s">
        <v>3</v>
      </c>
      <c r="K9" s="3" t="s">
        <v>15</v>
      </c>
      <c r="L9" s="6" t="s">
        <v>14</v>
      </c>
      <c r="M9" s="6">
        <f>0.00785*M8^2</f>
        <v>0.78499999999999992</v>
      </c>
      <c r="N9" s="6" t="s">
        <v>8</v>
      </c>
    </row>
    <row r="10" spans="1:17" x14ac:dyDescent="0.3">
      <c r="B10" s="16" t="s">
        <v>73</v>
      </c>
      <c r="C10" s="16"/>
      <c r="D10" s="16"/>
      <c r="F10" s="3" t="s">
        <v>72</v>
      </c>
      <c r="G10" s="6" t="s">
        <v>71</v>
      </c>
      <c r="H10" s="10">
        <f>+ROUNDUP((H4*100000/0.145/C16/H8)^0.5+H9,0)</f>
        <v>37</v>
      </c>
      <c r="I10" s="6" t="s">
        <v>3</v>
      </c>
      <c r="K10" s="3" t="s">
        <v>70</v>
      </c>
      <c r="L10" s="10" t="s">
        <v>69</v>
      </c>
      <c r="M10" s="10">
        <f>+H13*M9*2*C17/M7/1000</f>
        <v>17.766889856946268</v>
      </c>
      <c r="N10" s="6" t="s">
        <v>3</v>
      </c>
    </row>
    <row r="11" spans="1:17" x14ac:dyDescent="0.3">
      <c r="A11" s="3" t="s">
        <v>68</v>
      </c>
      <c r="B11" s="4" t="str">
        <f>+'[1]losa horm'!B15</f>
        <v>Cm</v>
      </c>
      <c r="C11" s="4">
        <f>+'[1]losa horm'!C15</f>
        <v>0.70279999999999998</v>
      </c>
      <c r="D11" s="4" t="str">
        <f>+'[1]losa horm'!D15</f>
        <v>t/m2</v>
      </c>
      <c r="F11" s="3" t="s">
        <v>67</v>
      </c>
      <c r="G11" s="6" t="s">
        <v>66</v>
      </c>
      <c r="H11" s="11">
        <v>40</v>
      </c>
      <c r="I11" s="6" t="s">
        <v>3</v>
      </c>
      <c r="K11" s="3" t="s">
        <v>65</v>
      </c>
      <c r="L11" s="10" t="s">
        <v>49</v>
      </c>
      <c r="M11" s="10">
        <f>ROUNDUP(MIN(H13/4,6*H15/10,10,M10),0)</f>
        <v>9</v>
      </c>
      <c r="N11" s="6" t="s">
        <v>3</v>
      </c>
    </row>
    <row r="12" spans="1:17" x14ac:dyDescent="0.3">
      <c r="A12" s="3" t="s">
        <v>64</v>
      </c>
      <c r="B12" s="4" t="s">
        <v>63</v>
      </c>
      <c r="C12" s="4">
        <f>+IF(C8="Vivienda",0.2,IF(C8="Oficina",0.25,IF(C8="Pesada",0.48,0.35)))</f>
        <v>0.2</v>
      </c>
      <c r="D12" s="4" t="s">
        <v>56</v>
      </c>
      <c r="F12" s="3" t="s">
        <v>62</v>
      </c>
      <c r="G12" s="6" t="s">
        <v>61</v>
      </c>
      <c r="H12" s="6">
        <f>+H11/H8</f>
        <v>1.3333333333333333</v>
      </c>
      <c r="I12" s="7" t="str">
        <f>+IF(H12&lt;1.1,"NO",IF(H12&gt;1.6,"NO","OK"))</f>
        <v>OK</v>
      </c>
      <c r="K12" s="3" t="s">
        <v>60</v>
      </c>
      <c r="L12" s="6" t="s">
        <v>59</v>
      </c>
      <c r="M12" s="10">
        <f>2*H11</f>
        <v>80</v>
      </c>
      <c r="N12" s="6" t="s">
        <v>3</v>
      </c>
    </row>
    <row r="13" spans="1:17" x14ac:dyDescent="0.3">
      <c r="A13" s="3" t="s">
        <v>58</v>
      </c>
      <c r="B13" s="9" t="s">
        <v>57</v>
      </c>
      <c r="C13" s="9">
        <f>+C11*1.2+C12*1.6</f>
        <v>1.1633599999999999</v>
      </c>
      <c r="D13" s="9" t="s">
        <v>56</v>
      </c>
      <c r="F13" s="3" t="s">
        <v>55</v>
      </c>
      <c r="G13" s="6" t="s">
        <v>55</v>
      </c>
      <c r="H13" s="6">
        <f>+H11-H9-M8/10-H15/20</f>
        <v>35.700000000000003</v>
      </c>
      <c r="I13" s="6" t="s">
        <v>3</v>
      </c>
      <c r="K13" s="3" t="s">
        <v>54</v>
      </c>
      <c r="L13" s="10" t="s">
        <v>53</v>
      </c>
      <c r="M13" s="10">
        <f>+(H2-M17-M12/50)*100</f>
        <v>349.99999999999994</v>
      </c>
      <c r="N13" s="6" t="s">
        <v>3</v>
      </c>
    </row>
    <row r="14" spans="1:17" x14ac:dyDescent="0.3">
      <c r="F14" s="3" t="s">
        <v>52</v>
      </c>
      <c r="G14" s="6" t="s">
        <v>51</v>
      </c>
      <c r="H14" s="6">
        <f>14*H8*H13/C17</f>
        <v>3.5700000000000003</v>
      </c>
      <c r="I14" s="6" t="s">
        <v>8</v>
      </c>
      <c r="K14" s="3" t="s">
        <v>50</v>
      </c>
      <c r="L14" s="6" t="s">
        <v>49</v>
      </c>
      <c r="M14" s="10">
        <f>+ROUNDUP(MIN(H13/2,8*H15/10,15),0)</f>
        <v>13</v>
      </c>
      <c r="N14" s="6" t="s">
        <v>3</v>
      </c>
    </row>
    <row r="15" spans="1:17" x14ac:dyDescent="0.3">
      <c r="A15" s="3" t="s">
        <v>48</v>
      </c>
      <c r="B15" s="15" t="s">
        <v>47</v>
      </c>
      <c r="C15" s="15"/>
      <c r="D15" s="14" t="s">
        <v>46</v>
      </c>
      <c r="F15" s="3" t="s">
        <v>45</v>
      </c>
      <c r="G15" s="6" t="s">
        <v>17</v>
      </c>
      <c r="H15" s="11">
        <v>16</v>
      </c>
      <c r="I15" s="6" t="s">
        <v>16</v>
      </c>
      <c r="K15" s="3"/>
      <c r="L15" s="6"/>
      <c r="M15" s="6"/>
      <c r="N15" s="6"/>
    </row>
    <row r="16" spans="1:17" x14ac:dyDescent="0.3">
      <c r="A16" s="3" t="s">
        <v>44</v>
      </c>
      <c r="B16" s="6" t="s">
        <v>43</v>
      </c>
      <c r="C16" s="13">
        <v>210</v>
      </c>
      <c r="D16" s="6" t="s">
        <v>40</v>
      </c>
      <c r="F16" s="3" t="s">
        <v>15</v>
      </c>
      <c r="G16" s="6" t="s">
        <v>14</v>
      </c>
      <c r="H16" s="6">
        <f>0.00785*H15^2</f>
        <v>2.0095999999999998</v>
      </c>
      <c r="I16" s="6" t="s">
        <v>8</v>
      </c>
      <c r="K16" s="3"/>
      <c r="L16" s="6"/>
      <c r="M16" s="6"/>
      <c r="N16" s="6"/>
    </row>
    <row r="17" spans="1:14" x14ac:dyDescent="0.3">
      <c r="A17" s="3" t="s">
        <v>42</v>
      </c>
      <c r="B17" s="6" t="s">
        <v>41</v>
      </c>
      <c r="C17" s="13">
        <v>4200</v>
      </c>
      <c r="D17" s="6" t="s">
        <v>40</v>
      </c>
      <c r="F17" s="3" t="s">
        <v>39</v>
      </c>
      <c r="G17" s="6" t="s">
        <v>12</v>
      </c>
      <c r="H17" s="10">
        <f>MAX(INT(H14/H16),2)</f>
        <v>2</v>
      </c>
      <c r="I17" s="6" t="s">
        <v>11</v>
      </c>
      <c r="K17" s="3"/>
      <c r="L17" s="6" t="s">
        <v>38</v>
      </c>
      <c r="M17" s="6">
        <f>+'[1]COL horm'!H9/100</f>
        <v>0.4</v>
      </c>
      <c r="N17" s="6" t="s">
        <v>0</v>
      </c>
    </row>
    <row r="18" spans="1:14" x14ac:dyDescent="0.3">
      <c r="F18" s="3" t="s">
        <v>37</v>
      </c>
      <c r="G18" s="4" t="s">
        <v>36</v>
      </c>
      <c r="H18" s="4">
        <f>30*H4/H13</f>
        <v>9.0369389314285726</v>
      </c>
      <c r="I18" s="4" t="s">
        <v>8</v>
      </c>
      <c r="K18" s="3" t="s">
        <v>35</v>
      </c>
      <c r="L18" s="6" t="s">
        <v>34</v>
      </c>
      <c r="M18" s="6">
        <f>1.25*H20*C17*(H13-1.25*H20*C17/1.7/C16/H8)/100000</f>
        <v>16.234169411764707</v>
      </c>
      <c r="N18" s="6" t="s">
        <v>30</v>
      </c>
    </row>
    <row r="19" spans="1:14" x14ac:dyDescent="0.3">
      <c r="F19" s="3" t="s">
        <v>33</v>
      </c>
      <c r="G19" s="6" t="s">
        <v>12</v>
      </c>
      <c r="H19" s="10">
        <f>+INT((H18-H17*H16)/H16)+1</f>
        <v>3</v>
      </c>
      <c r="I19" s="6" t="s">
        <v>11</v>
      </c>
      <c r="K19" s="3" t="s">
        <v>32</v>
      </c>
      <c r="L19" s="6" t="s">
        <v>31</v>
      </c>
      <c r="M19" s="6">
        <f>1.25*H28*C17*(H13-1.25*H28*C17/1.7/C16/H8)/100000</f>
        <v>10.364092348235294</v>
      </c>
      <c r="N19" s="6" t="s">
        <v>30</v>
      </c>
    </row>
    <row r="20" spans="1:14" x14ac:dyDescent="0.3">
      <c r="A20" s="3" t="s">
        <v>29</v>
      </c>
      <c r="B20" s="4" t="s">
        <v>28</v>
      </c>
      <c r="C20" s="12">
        <f>0.85*0.85*C16/C17*(6100/(6100+C17))</f>
        <v>2.1394417475728154E-2</v>
      </c>
      <c r="D20" s="12"/>
      <c r="F20" s="3" t="s">
        <v>27</v>
      </c>
      <c r="G20" s="9" t="s">
        <v>9</v>
      </c>
      <c r="H20" s="9">
        <f>+(H17+H19)*H16</f>
        <v>10.047999999999998</v>
      </c>
      <c r="I20" s="9" t="s">
        <v>8</v>
      </c>
    </row>
    <row r="21" spans="1:14" x14ac:dyDescent="0.3">
      <c r="A21" s="3" t="s">
        <v>26</v>
      </c>
      <c r="B21" s="4" t="s">
        <v>25</v>
      </c>
      <c r="C21" s="12">
        <f>+IF(D15="Alta",0.5*C20,0.75*C20)</f>
        <v>1.0697208737864077E-2</v>
      </c>
      <c r="D21" s="12"/>
      <c r="F21" s="3" t="s">
        <v>24</v>
      </c>
      <c r="G21" s="6" t="s">
        <v>6</v>
      </c>
      <c r="H21" s="8">
        <f>+H20/H8/H11</f>
        <v>8.3733333333333316E-3</v>
      </c>
      <c r="I21" s="7" t="str">
        <f>+IF(H21&lt;C21,"OK","NO")</f>
        <v>OK</v>
      </c>
    </row>
    <row r="22" spans="1:14" x14ac:dyDescent="0.3">
      <c r="A22" s="3" t="s">
        <v>23</v>
      </c>
      <c r="G22" s="6"/>
      <c r="H22" s="6"/>
      <c r="I22" s="6"/>
    </row>
    <row r="23" spans="1:14" x14ac:dyDescent="0.3">
      <c r="F23" s="3" t="s">
        <v>22</v>
      </c>
      <c r="G23" s="6" t="s">
        <v>21</v>
      </c>
      <c r="H23" s="6">
        <f>+(H8-2*H9-2-(H17+H19)*H15/10)/(H17+H19-1)</f>
        <v>3.75</v>
      </c>
      <c r="I23" s="7" t="str">
        <f>+IF(H23&gt;MAX(H15/10,2.54),"OK","NO")</f>
        <v>OK</v>
      </c>
    </row>
    <row r="24" spans="1:14" x14ac:dyDescent="0.3">
      <c r="F24" s="3" t="s">
        <v>20</v>
      </c>
      <c r="G24" s="4" t="s">
        <v>19</v>
      </c>
      <c r="H24" s="4">
        <f>0.67*H20</f>
        <v>6.7321599999999995</v>
      </c>
      <c r="I24" s="4" t="s">
        <v>8</v>
      </c>
    </row>
    <row r="25" spans="1:14" x14ac:dyDescent="0.3">
      <c r="F25" s="3" t="s">
        <v>18</v>
      </c>
      <c r="G25" s="6" t="s">
        <v>17</v>
      </c>
      <c r="H25" s="11">
        <v>16</v>
      </c>
      <c r="I25" s="6" t="s">
        <v>16</v>
      </c>
    </row>
    <row r="26" spans="1:14" x14ac:dyDescent="0.3">
      <c r="F26" s="3" t="s">
        <v>15</v>
      </c>
      <c r="G26" s="6" t="s">
        <v>14</v>
      </c>
      <c r="H26" s="6">
        <f>0.00785*H25^2</f>
        <v>2.0095999999999998</v>
      </c>
      <c r="I26" s="6" t="s">
        <v>8</v>
      </c>
    </row>
    <row r="27" spans="1:14" x14ac:dyDescent="0.3">
      <c r="F27" s="3" t="s">
        <v>13</v>
      </c>
      <c r="G27" s="6" t="s">
        <v>12</v>
      </c>
      <c r="H27" s="10">
        <f>+INT(H24/H26)</f>
        <v>3</v>
      </c>
      <c r="I27" s="6" t="s">
        <v>11</v>
      </c>
    </row>
    <row r="28" spans="1:14" x14ac:dyDescent="0.3">
      <c r="F28" s="3" t="s">
        <v>10</v>
      </c>
      <c r="G28" s="9" t="s">
        <v>9</v>
      </c>
      <c r="H28" s="9">
        <f>+H27*H26</f>
        <v>6.0287999999999995</v>
      </c>
      <c r="I28" s="9" t="s">
        <v>8</v>
      </c>
    </row>
    <row r="29" spans="1:14" x14ac:dyDescent="0.3">
      <c r="F29" s="3" t="s">
        <v>7</v>
      </c>
      <c r="G29" s="6" t="s">
        <v>6</v>
      </c>
      <c r="H29" s="8">
        <f>+H28/H8/H11</f>
        <v>5.023999999999999E-3</v>
      </c>
      <c r="I29" s="7" t="str">
        <f>+IF(H29&gt;H21/2,"OK","NO")</f>
        <v>OK</v>
      </c>
    </row>
    <row r="30" spans="1:14" x14ac:dyDescent="0.3">
      <c r="F30" s="3" t="s">
        <v>5</v>
      </c>
      <c r="G30" s="6" t="s">
        <v>4</v>
      </c>
      <c r="H30" s="6">
        <f>+H20*C17/0.85/C16/H8</f>
        <v>7.8807843137254885</v>
      </c>
      <c r="I30" s="6" t="s">
        <v>3</v>
      </c>
    </row>
    <row r="31" spans="1:14" x14ac:dyDescent="0.3">
      <c r="F31" s="3" t="s">
        <v>2</v>
      </c>
      <c r="G31" s="4" t="s">
        <v>1</v>
      </c>
      <c r="H31" s="5">
        <f>+(2*H5/C13)^0.33333</f>
        <v>2.7473653678692109</v>
      </c>
      <c r="I31" s="4" t="s">
        <v>0</v>
      </c>
    </row>
  </sheetData>
  <mergeCells count="10">
    <mergeCell ref="C20:D20"/>
    <mergeCell ref="B15:C15"/>
    <mergeCell ref="C21:D21"/>
    <mergeCell ref="L2:N2"/>
    <mergeCell ref="B1:D1"/>
    <mergeCell ref="C8:D8"/>
    <mergeCell ref="G7:I7"/>
    <mergeCell ref="H6:I6"/>
    <mergeCell ref="G1:N1"/>
    <mergeCell ref="B10:D10"/>
  </mergeCells>
  <dataValidations count="4">
    <dataValidation type="list" allowBlank="1" showInputMessage="1" showErrorMessage="1" sqref="M8" xr:uid="{6F048290-F854-4A47-B210-E8D15A95D6B6}">
      <formula1>"10,12"</formula1>
    </dataValidation>
    <dataValidation type="list" allowBlank="1" showInputMessage="1" showErrorMessage="1" sqref="D15" xr:uid="{AB3F6E97-FFE5-4DD1-9621-821497502804}">
      <formula1>"Alta,Media"</formula1>
    </dataValidation>
    <dataValidation type="list" allowBlank="1" showInputMessage="1" showErrorMessage="1" sqref="H15 H25" xr:uid="{658ADA41-D1DC-4C0C-9E94-EC2947B7031B}">
      <formula1>"10,12,14,16,18,20,22,25,28,32,35"</formula1>
    </dataValidation>
    <dataValidation type="list" allowBlank="1" showInputMessage="1" showErrorMessage="1" sqref="C8" xr:uid="{9B9FB88E-3DBC-455A-9E7F-396799231AAF}">
      <formula1>"Vivienda,Oficina,Pesada,Parqueaderos"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VIGAS horm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2023</dc:creator>
  <cp:lastModifiedBy>USUARIO 2023</cp:lastModifiedBy>
  <dcterms:created xsi:type="dcterms:W3CDTF">2026-03-12T14:47:10Z</dcterms:created>
  <dcterms:modified xsi:type="dcterms:W3CDTF">2026-03-12T14:48:02Z</dcterms:modified>
</cp:coreProperties>
</file>