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UARIO 2023\Desktop\INTERFAZ\"/>
    </mc:Choice>
  </mc:AlternateContent>
  <xr:revisionPtr revIDLastSave="0" documentId="8_{DAC4A7FF-4705-4CD4-B327-84282DF074B5}" xr6:coauthVersionLast="47" xr6:coauthVersionMax="47" xr10:uidLastSave="{00000000-0000-0000-0000-000000000000}"/>
  <bookViews>
    <workbookView xWindow="-108" yWindow="-108" windowWidth="23256" windowHeight="12456" xr2:uid="{21FB7C21-68FB-4C5A-BE8F-DC54DF2483DA}"/>
  </bookViews>
  <sheets>
    <sheet name="VIGAS horm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2" l="1"/>
  <c r="B21" i="2"/>
  <c r="B20" i="2"/>
  <c r="J17" i="2"/>
  <c r="F17" i="2"/>
  <c r="F15" i="2"/>
  <c r="F18" i="2" s="1"/>
  <c r="J14" i="2"/>
  <c r="F13" i="2"/>
  <c r="F14" i="2" s="1"/>
  <c r="J12" i="2"/>
  <c r="F12" i="2"/>
  <c r="G12" i="2" s="1"/>
  <c r="B12" i="2"/>
  <c r="C11" i="2"/>
  <c r="B11" i="2"/>
  <c r="B13" i="2" s="1"/>
  <c r="A11" i="2"/>
  <c r="J9" i="2"/>
  <c r="B7" i="2"/>
  <c r="J6" i="2"/>
  <c r="B6" i="2"/>
  <c r="B5" i="2"/>
  <c r="B4" i="2"/>
  <c r="F3" i="2" s="1"/>
  <c r="B3" i="2"/>
  <c r="B2" i="2"/>
  <c r="F2" i="2" s="1"/>
  <c r="J13" i="2" l="1"/>
  <c r="J3" i="2"/>
  <c r="F4" i="2"/>
  <c r="F10" i="2" l="1"/>
  <c r="F19" i="2"/>
  <c r="F20" i="2" s="1"/>
  <c r="F21" i="2" l="1"/>
  <c r="F24" i="2"/>
  <c r="G24" i="2" s="1"/>
  <c r="F31" i="2" l="1"/>
  <c r="F25" i="2"/>
  <c r="F28" i="2" s="1"/>
  <c r="F29" i="2" s="1"/>
  <c r="J18" i="2"/>
  <c r="F5" i="2"/>
  <c r="F22" i="2"/>
  <c r="G22" i="2" s="1"/>
  <c r="F32" i="2" l="1"/>
  <c r="F6" i="2"/>
  <c r="F30" i="2"/>
  <c r="G30" i="2" s="1"/>
  <c r="J19" i="2"/>
  <c r="J4" i="2" s="1"/>
  <c r="J5" i="2" s="1"/>
  <c r="J7" i="2" s="1"/>
  <c r="J10" i="2" s="1"/>
  <c r="J11" i="2" s="1"/>
</calcChain>
</file>

<file path=xl/sharedStrings.xml><?xml version="1.0" encoding="utf-8"?>
<sst xmlns="http://schemas.openxmlformats.org/spreadsheetml/2006/main" count="113" uniqueCount="64">
  <si>
    <t>Datos Arq</t>
  </si>
  <si>
    <t>Viga</t>
  </si>
  <si>
    <t>L1</t>
  </si>
  <si>
    <t>m</t>
  </si>
  <si>
    <t>Lv</t>
  </si>
  <si>
    <t>Cortante</t>
  </si>
  <si>
    <t>L2</t>
  </si>
  <si>
    <t>Lt</t>
  </si>
  <si>
    <t>Vug</t>
  </si>
  <si>
    <t>t</t>
  </si>
  <si>
    <t>L3</t>
  </si>
  <si>
    <t>Mdis</t>
  </si>
  <si>
    <t>t-m</t>
  </si>
  <si>
    <t>Vum</t>
  </si>
  <si>
    <t>L4</t>
  </si>
  <si>
    <t>Mres</t>
  </si>
  <si>
    <t>Vu</t>
  </si>
  <si>
    <t>Pisos</t>
  </si>
  <si>
    <t>u</t>
  </si>
  <si>
    <t>D/C</t>
  </si>
  <si>
    <t>Vc</t>
  </si>
  <si>
    <t>He</t>
  </si>
  <si>
    <t>Datos viga</t>
  </si>
  <si>
    <t>Vs</t>
  </si>
  <si>
    <t>Uso</t>
  </si>
  <si>
    <t>Vivienda</t>
  </si>
  <si>
    <t>b</t>
  </si>
  <si>
    <t>cm</t>
  </si>
  <si>
    <t>fi</t>
  </si>
  <si>
    <t>mm</t>
  </si>
  <si>
    <t>rec</t>
  </si>
  <si>
    <t>Ab</t>
  </si>
  <si>
    <t>cm2</t>
  </si>
  <si>
    <t>hmin</t>
  </si>
  <si>
    <t>s</t>
  </si>
  <si>
    <t>hdef</t>
  </si>
  <si>
    <t>smax</t>
  </si>
  <si>
    <t>Cv</t>
  </si>
  <si>
    <t>t/m2</t>
  </si>
  <si>
    <t>rel</t>
  </si>
  <si>
    <t>Zprot</t>
  </si>
  <si>
    <t>Cu</t>
  </si>
  <si>
    <t>d</t>
  </si>
  <si>
    <t>Z centrl</t>
  </si>
  <si>
    <t>d'</t>
  </si>
  <si>
    <t>Z sismica</t>
  </si>
  <si>
    <t>Alta</t>
  </si>
  <si>
    <t>Asmin</t>
  </si>
  <si>
    <t>fc</t>
  </si>
  <si>
    <t>kg/cm2</t>
  </si>
  <si>
    <t>fy</t>
  </si>
  <si>
    <t>bcol</t>
  </si>
  <si>
    <t>Num</t>
  </si>
  <si>
    <t>Mpr(-)</t>
  </si>
  <si>
    <t>As(-)</t>
  </si>
  <si>
    <t>Mpr(+)</t>
  </si>
  <si>
    <t>pb</t>
  </si>
  <si>
    <t>pmax</t>
  </si>
  <si>
    <t>As total</t>
  </si>
  <si>
    <t>Cuant</t>
  </si>
  <si>
    <t>sep</t>
  </si>
  <si>
    <t>As(+)</t>
  </si>
  <si>
    <t>a</t>
  </si>
  <si>
    <t>Lmax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</si>
</sst>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2" fontId="2" fillId="2" borderId="1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2" fillId="2" borderId="2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2" fontId="0" fillId="4" borderId="4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4" fillId="7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2" fontId="2" fillId="8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sa horm"/>
      <sheetName val="VIGAS horm"/>
      <sheetName val="Hoja2"/>
      <sheetName val="COL horm"/>
      <sheetName val="VIGAS MET"/>
      <sheetName val="COL MET"/>
      <sheetName val="SISMICA"/>
      <sheetName val="Hoja3"/>
      <sheetName val="Hoja1"/>
      <sheetName val="CIM"/>
      <sheetName val="DATOS MEMORIA"/>
      <sheetName val="DATOS SISMICOS"/>
      <sheetName val="Hoja4"/>
    </sheetNames>
    <sheetDataSet>
      <sheetData sheetId="0">
        <row r="2">
          <cell r="B2">
            <v>3.96</v>
          </cell>
        </row>
        <row r="3">
          <cell r="B3">
            <v>6.75</v>
          </cell>
        </row>
        <row r="4">
          <cell r="B4">
            <v>4.5599999999999996</v>
          </cell>
        </row>
        <row r="5">
          <cell r="B5">
            <v>4.2</v>
          </cell>
        </row>
        <row r="6">
          <cell r="B6">
            <v>2</v>
          </cell>
        </row>
        <row r="7">
          <cell r="B7">
            <v>3.4</v>
          </cell>
        </row>
        <row r="12">
          <cell r="A12" t="str">
            <v>Cm</v>
          </cell>
          <cell r="B12">
            <v>0.70279999999999998</v>
          </cell>
          <cell r="C12" t="str">
            <v>t/m2</v>
          </cell>
        </row>
      </sheetData>
      <sheetData sheetId="1" refreshError="1"/>
      <sheetData sheetId="2" refreshError="1"/>
      <sheetData sheetId="3">
        <row r="9">
          <cell r="F9">
            <v>30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675E-4B6B-4327-98F8-EDA63DE4B902}">
  <dimension ref="A1:N32"/>
  <sheetViews>
    <sheetView tabSelected="1" zoomScale="120" zoomScaleNormal="120" workbookViewId="0">
      <selection activeCell="M11" sqref="M11"/>
    </sheetView>
  </sheetViews>
  <sheetFormatPr baseColWidth="10" defaultRowHeight="14.4" x14ac:dyDescent="0.3"/>
  <cols>
    <col min="1" max="2" width="8.77734375" style="2" customWidth="1"/>
    <col min="3" max="3" width="8.33203125" style="2" customWidth="1"/>
    <col min="4" max="4" width="1.33203125" style="2" customWidth="1"/>
    <col min="5" max="5" width="9.109375" style="2" customWidth="1"/>
    <col min="6" max="6" width="8.6640625" style="2" customWidth="1"/>
    <col min="7" max="7" width="7.33203125" style="2" customWidth="1"/>
    <col min="8" max="8" width="1.33203125" style="2" customWidth="1"/>
    <col min="9" max="11" width="8.5546875" style="2" customWidth="1"/>
    <col min="12" max="12" width="1.88671875" style="2" customWidth="1"/>
    <col min="13" max="13" width="10.21875" style="2" customWidth="1"/>
    <col min="14" max="16" width="7.77734375" style="2" customWidth="1"/>
    <col min="17" max="16384" width="11.5546875" style="2"/>
  </cols>
  <sheetData>
    <row r="1" spans="1:14" x14ac:dyDescent="0.3">
      <c r="A1" s="1" t="s">
        <v>0</v>
      </c>
      <c r="B1" s="1"/>
      <c r="C1" s="1"/>
      <c r="E1" s="1" t="s">
        <v>1</v>
      </c>
      <c r="F1" s="1"/>
      <c r="G1" s="1"/>
      <c r="H1" s="1"/>
      <c r="I1" s="1"/>
      <c r="J1" s="1"/>
      <c r="K1" s="1"/>
    </row>
    <row r="2" spans="1:14" x14ac:dyDescent="0.3">
      <c r="A2" s="3" t="s">
        <v>2</v>
      </c>
      <c r="B2" s="3">
        <f>+'[1]losa horm'!B2</f>
        <v>3.96</v>
      </c>
      <c r="C2" s="3" t="s">
        <v>3</v>
      </c>
      <c r="E2" s="4" t="s">
        <v>4</v>
      </c>
      <c r="F2" s="4">
        <f>+MAX(B2:B3)</f>
        <v>6.75</v>
      </c>
      <c r="G2" s="4" t="s">
        <v>3</v>
      </c>
      <c r="I2" s="5" t="s">
        <v>5</v>
      </c>
      <c r="J2" s="5"/>
      <c r="K2" s="5"/>
    </row>
    <row r="3" spans="1:14" x14ac:dyDescent="0.3">
      <c r="A3" s="3" t="s">
        <v>6</v>
      </c>
      <c r="B3" s="3">
        <f>+'[1]losa horm'!B3</f>
        <v>6.75</v>
      </c>
      <c r="C3" s="3" t="s">
        <v>3</v>
      </c>
      <c r="E3" s="6" t="s">
        <v>7</v>
      </c>
      <c r="F3" s="6">
        <f>+AVERAGE(B4:B5)</f>
        <v>4.38</v>
      </c>
      <c r="G3" s="6" t="s">
        <v>3</v>
      </c>
      <c r="I3" s="3" t="s">
        <v>8</v>
      </c>
      <c r="J3" s="3">
        <f>+(2*F2-F3)*F3*B13/4</f>
        <v>11.617778304000002</v>
      </c>
      <c r="K3" s="3" t="s">
        <v>9</v>
      </c>
    </row>
    <row r="4" spans="1:14" x14ac:dyDescent="0.3">
      <c r="A4" s="3" t="s">
        <v>10</v>
      </c>
      <c r="B4" s="3">
        <f>+'[1]losa horm'!B4</f>
        <v>4.5599999999999996</v>
      </c>
      <c r="C4" s="3" t="s">
        <v>3</v>
      </c>
      <c r="E4" s="7" t="s">
        <v>11</v>
      </c>
      <c r="F4" s="7">
        <f>+B13*F3*(F2-0.3)^2 /8 *0.65*0.85*1.1</f>
        <v>16.10432949314475</v>
      </c>
      <c r="G4" s="7" t="s">
        <v>12</v>
      </c>
      <c r="I4" s="8" t="s">
        <v>13</v>
      </c>
      <c r="J4" s="3">
        <f>+(J18+J19)/(F2-J17-F11/25)</f>
        <v>6.4833242352941172</v>
      </c>
      <c r="K4" s="3" t="s">
        <v>9</v>
      </c>
      <c r="M4" s="9"/>
    </row>
    <row r="5" spans="1:14" x14ac:dyDescent="0.3">
      <c r="A5" s="3" t="s">
        <v>14</v>
      </c>
      <c r="B5" s="3">
        <f>+'[1]losa horm'!B5</f>
        <v>4.2</v>
      </c>
      <c r="C5" s="3" t="s">
        <v>3</v>
      </c>
      <c r="E5" s="7" t="s">
        <v>15</v>
      </c>
      <c r="F5" s="7">
        <f>0.9*(F21*B17*(F13-F31/2))/100000</f>
        <v>14.772170611651761</v>
      </c>
      <c r="G5" s="7" t="s">
        <v>12</v>
      </c>
      <c r="I5" s="10" t="s">
        <v>16</v>
      </c>
      <c r="J5" s="11">
        <f>SUM(J3:J4)</f>
        <v>18.101102539294118</v>
      </c>
      <c r="K5" s="11" t="s">
        <v>9</v>
      </c>
    </row>
    <row r="6" spans="1:14" x14ac:dyDescent="0.3">
      <c r="A6" s="3" t="s">
        <v>17</v>
      </c>
      <c r="B6" s="8">
        <f>+'[1]losa horm'!B6</f>
        <v>2</v>
      </c>
      <c r="C6" s="3" t="s">
        <v>18</v>
      </c>
      <c r="E6" s="7" t="s">
        <v>19</v>
      </c>
      <c r="F6" s="12">
        <f>+F4/F5</f>
        <v>1.0901803070458873</v>
      </c>
      <c r="G6" s="13"/>
      <c r="I6" s="3" t="s">
        <v>20</v>
      </c>
      <c r="J6" s="3">
        <f>0.53*B16^0.5*F8*F13/1000</f>
        <v>6.6128499505886262</v>
      </c>
      <c r="K6" s="3" t="s">
        <v>9</v>
      </c>
      <c r="N6" s="9"/>
    </row>
    <row r="7" spans="1:14" x14ac:dyDescent="0.3">
      <c r="A7" s="3" t="s">
        <v>21</v>
      </c>
      <c r="B7" s="3">
        <f>+'[1]losa horm'!B7</f>
        <v>3.4</v>
      </c>
      <c r="C7" s="3" t="s">
        <v>3</v>
      </c>
      <c r="E7" s="1" t="s">
        <v>22</v>
      </c>
      <c r="F7" s="1"/>
      <c r="G7" s="1"/>
      <c r="I7" s="11" t="s">
        <v>23</v>
      </c>
      <c r="J7" s="11">
        <f>+(J5-0.75*J6)/0.75</f>
        <v>17.521953435136865</v>
      </c>
      <c r="K7" s="11" t="s">
        <v>9</v>
      </c>
    </row>
    <row r="8" spans="1:14" x14ac:dyDescent="0.3">
      <c r="A8" s="3" t="s">
        <v>24</v>
      </c>
      <c r="B8" s="14" t="s">
        <v>25</v>
      </c>
      <c r="C8" s="15"/>
      <c r="E8" s="3" t="s">
        <v>26</v>
      </c>
      <c r="F8" s="16">
        <v>30</v>
      </c>
      <c r="G8" s="3" t="s">
        <v>27</v>
      </c>
      <c r="I8" s="3" t="s">
        <v>28</v>
      </c>
      <c r="J8" s="16">
        <v>10</v>
      </c>
      <c r="K8" s="3" t="s">
        <v>29</v>
      </c>
    </row>
    <row r="9" spans="1:14" x14ac:dyDescent="0.3">
      <c r="A9" s="3"/>
      <c r="B9" s="3"/>
      <c r="C9" s="3"/>
      <c r="E9" s="3" t="s">
        <v>30</v>
      </c>
      <c r="F9" s="17">
        <v>2.5</v>
      </c>
      <c r="G9" s="3" t="s">
        <v>27</v>
      </c>
      <c r="I9" s="3" t="s">
        <v>31</v>
      </c>
      <c r="J9" s="3">
        <f>0.00785*J8^2</f>
        <v>0.78499999999999992</v>
      </c>
      <c r="K9" s="3" t="s">
        <v>32</v>
      </c>
    </row>
    <row r="10" spans="1:14" x14ac:dyDescent="0.3">
      <c r="E10" s="3" t="s">
        <v>33</v>
      </c>
      <c r="F10" s="8">
        <f>+ROUNDUP((F4*100000/0.145/B16/F8)^0.5+F9,0)</f>
        <v>45</v>
      </c>
      <c r="G10" s="3" t="s">
        <v>27</v>
      </c>
      <c r="I10" s="8" t="s">
        <v>34</v>
      </c>
      <c r="J10" s="8">
        <f>+F13*J9*2*B17/J7/1000</f>
        <v>10.800610828042744</v>
      </c>
      <c r="K10" s="3" t="s">
        <v>27</v>
      </c>
    </row>
    <row r="11" spans="1:14" x14ac:dyDescent="0.3">
      <c r="A11" s="11" t="str">
        <f>+'[1]losa horm'!A12</f>
        <v>Cm</v>
      </c>
      <c r="B11" s="11">
        <f>+'[1]losa horm'!B12</f>
        <v>0.70279999999999998</v>
      </c>
      <c r="C11" s="11" t="str">
        <f>+'[1]losa horm'!C12</f>
        <v>t/m2</v>
      </c>
      <c r="E11" s="3" t="s">
        <v>35</v>
      </c>
      <c r="F11" s="16">
        <v>33</v>
      </c>
      <c r="G11" s="3" t="s">
        <v>27</v>
      </c>
      <c r="I11" s="18" t="s">
        <v>36</v>
      </c>
      <c r="J11" s="18">
        <f>ROUNDUP(MIN(F13/4,6*F16/10,10,J10),0)</f>
        <v>8</v>
      </c>
      <c r="K11" s="19" t="s">
        <v>27</v>
      </c>
    </row>
    <row r="12" spans="1:14" x14ac:dyDescent="0.3">
      <c r="A12" s="11" t="s">
        <v>37</v>
      </c>
      <c r="B12" s="11">
        <f>+IF(B8="Vivienda",0.2,IF(B8="Oficina",0.25,IF(B8="Pesada",0.48,0.35)))</f>
        <v>0.2</v>
      </c>
      <c r="C12" s="11" t="s">
        <v>38</v>
      </c>
      <c r="E12" s="3" t="s">
        <v>39</v>
      </c>
      <c r="F12" s="3">
        <f>+F11/F8</f>
        <v>1.1000000000000001</v>
      </c>
      <c r="G12" s="20" t="str">
        <f>+IF(F12&lt;1.1,"NO",IF(F12&gt;1.6,"NO","OK"))</f>
        <v>OK</v>
      </c>
      <c r="I12" s="3" t="s">
        <v>40</v>
      </c>
      <c r="J12" s="8">
        <f>2*F11</f>
        <v>66</v>
      </c>
      <c r="K12" s="3" t="s">
        <v>27</v>
      </c>
    </row>
    <row r="13" spans="1:14" x14ac:dyDescent="0.3">
      <c r="A13" s="7" t="s">
        <v>41</v>
      </c>
      <c r="B13" s="7">
        <f>+B11*1.2+B12*1.6</f>
        <v>1.1633599999999999</v>
      </c>
      <c r="C13" s="7" t="s">
        <v>38</v>
      </c>
      <c r="E13" s="3" t="s">
        <v>42</v>
      </c>
      <c r="F13" s="3">
        <f>+F11-F9-J8/10-F16/20</f>
        <v>28.7</v>
      </c>
      <c r="G13" s="3" t="s">
        <v>27</v>
      </c>
      <c r="I13" s="8" t="s">
        <v>43</v>
      </c>
      <c r="J13" s="8">
        <f>+(F2-J17-J12/50)*100</f>
        <v>513</v>
      </c>
      <c r="K13" s="3" t="s">
        <v>27</v>
      </c>
    </row>
    <row r="14" spans="1:14" x14ac:dyDescent="0.3">
      <c r="E14" s="3" t="s">
        <v>44</v>
      </c>
      <c r="F14" s="3">
        <f>+F11-F13</f>
        <v>4.3000000000000007</v>
      </c>
      <c r="G14" s="3" t="s">
        <v>27</v>
      </c>
      <c r="I14" s="19" t="s">
        <v>36</v>
      </c>
      <c r="J14" s="18">
        <f>+ROUNDUP(MIN(F13/2,8*F16/10,15),0)</f>
        <v>13</v>
      </c>
      <c r="K14" s="19" t="s">
        <v>27</v>
      </c>
    </row>
    <row r="15" spans="1:14" x14ac:dyDescent="0.3">
      <c r="A15" s="21" t="s">
        <v>45</v>
      </c>
      <c r="B15" s="21"/>
      <c r="C15" s="22" t="s">
        <v>46</v>
      </c>
      <c r="E15" s="3" t="s">
        <v>47</v>
      </c>
      <c r="F15" s="3">
        <f>14*F8*F13/B17</f>
        <v>2.87</v>
      </c>
      <c r="G15" s="3" t="s">
        <v>32</v>
      </c>
      <c r="I15" s="3"/>
      <c r="J15" s="3"/>
      <c r="K15" s="3"/>
    </row>
    <row r="16" spans="1:14" x14ac:dyDescent="0.3">
      <c r="A16" s="3" t="s">
        <v>48</v>
      </c>
      <c r="B16" s="23">
        <v>210</v>
      </c>
      <c r="C16" s="3" t="s">
        <v>49</v>
      </c>
      <c r="E16" s="3" t="s">
        <v>28</v>
      </c>
      <c r="F16" s="16">
        <v>16</v>
      </c>
      <c r="G16" s="3" t="s">
        <v>29</v>
      </c>
      <c r="I16" s="3"/>
      <c r="J16" s="3"/>
      <c r="K16" s="3"/>
    </row>
    <row r="17" spans="1:11" x14ac:dyDescent="0.3">
      <c r="A17" s="3" t="s">
        <v>50</v>
      </c>
      <c r="B17" s="23">
        <v>4200</v>
      </c>
      <c r="C17" s="3" t="s">
        <v>49</v>
      </c>
      <c r="E17" s="3" t="s">
        <v>31</v>
      </c>
      <c r="F17" s="3">
        <f>0.00785*F16^2</f>
        <v>2.0095999999999998</v>
      </c>
      <c r="G17" s="3" t="s">
        <v>32</v>
      </c>
      <c r="I17" s="3" t="s">
        <v>51</v>
      </c>
      <c r="J17" s="3">
        <f>+'[1]COL horm'!F9/100</f>
        <v>0.3</v>
      </c>
      <c r="K17" s="3" t="s">
        <v>3</v>
      </c>
    </row>
    <row r="18" spans="1:11" x14ac:dyDescent="0.3">
      <c r="E18" s="3" t="s">
        <v>52</v>
      </c>
      <c r="F18" s="8">
        <f>MAX(INT(F15/F17),2)</f>
        <v>2</v>
      </c>
      <c r="G18" s="3" t="s">
        <v>18</v>
      </c>
      <c r="I18" s="3" t="s">
        <v>53</v>
      </c>
      <c r="J18" s="3">
        <f>1.25*F21*B17*(F13-1.25*F21*B17/1.7/B16/F8)/100000</f>
        <v>18.833208734117648</v>
      </c>
      <c r="K18" s="3" t="s">
        <v>12</v>
      </c>
    </row>
    <row r="19" spans="1:11" x14ac:dyDescent="0.3">
      <c r="E19" s="11" t="s">
        <v>54</v>
      </c>
      <c r="F19" s="11">
        <f>30*F4/F13</f>
        <v>16.83379389527326</v>
      </c>
      <c r="G19" s="11" t="s">
        <v>32</v>
      </c>
      <c r="I19" s="3" t="s">
        <v>55</v>
      </c>
      <c r="J19" s="3">
        <f>1.25*F29*B17*(F13-1.25*F29*B17/1.7/B16/F8)/100000</f>
        <v>14.426244592941176</v>
      </c>
      <c r="K19" s="3" t="s">
        <v>12</v>
      </c>
    </row>
    <row r="20" spans="1:11" x14ac:dyDescent="0.3">
      <c r="A20" s="11" t="s">
        <v>56</v>
      </c>
      <c r="B20" s="24">
        <f>0.85*0.85*B16/B17*(6100/(6100+B17))</f>
        <v>2.1394417475728154E-2</v>
      </c>
      <c r="C20" s="24"/>
      <c r="E20" s="3" t="s">
        <v>52</v>
      </c>
      <c r="F20" s="8">
        <f>+INT((F19-F18*F17)/F17)+1</f>
        <v>7</v>
      </c>
      <c r="G20" s="3" t="s">
        <v>18</v>
      </c>
    </row>
    <row r="21" spans="1:11" x14ac:dyDescent="0.3">
      <c r="A21" s="11" t="s">
        <v>57</v>
      </c>
      <c r="B21" s="24">
        <f>+IF(C15="Alta",0.5*B20,0.75*B20)</f>
        <v>1.0697208737864077E-2</v>
      </c>
      <c r="C21" s="24"/>
      <c r="E21" s="7" t="s">
        <v>58</v>
      </c>
      <c r="F21" s="7">
        <f>+(F18+F20)*F17</f>
        <v>18.086399999999998</v>
      </c>
      <c r="G21" s="7" t="s">
        <v>32</v>
      </c>
    </row>
    <row r="22" spans="1:11" x14ac:dyDescent="0.3">
      <c r="E22" s="3" t="s">
        <v>59</v>
      </c>
      <c r="F22" s="25">
        <f>+F21/F8/F11</f>
        <v>1.8269090909090908E-2</v>
      </c>
      <c r="G22" s="20" t="str">
        <f>+IF(F22&lt;B21,"OK","NO")</f>
        <v>NO</v>
      </c>
    </row>
    <row r="23" spans="1:11" x14ac:dyDescent="0.3">
      <c r="E23" s="3"/>
      <c r="F23" s="3"/>
      <c r="G23" s="3"/>
    </row>
    <row r="24" spans="1:11" x14ac:dyDescent="0.3">
      <c r="E24" s="3" t="s">
        <v>60</v>
      </c>
      <c r="F24" s="3">
        <f>+(F8-2*F9-2-(F18+F20)*F16/10)/(F18+F20-1)</f>
        <v>1.075</v>
      </c>
      <c r="G24" s="20" t="str">
        <f>+IF(F24&gt;MAX(F16/10,2.54),"OK","NO")</f>
        <v>NO</v>
      </c>
    </row>
    <row r="25" spans="1:11" x14ac:dyDescent="0.3">
      <c r="E25" s="11" t="s">
        <v>61</v>
      </c>
      <c r="F25" s="11">
        <f>0.67*F21</f>
        <v>12.117887999999999</v>
      </c>
      <c r="G25" s="11" t="s">
        <v>32</v>
      </c>
    </row>
    <row r="26" spans="1:11" x14ac:dyDescent="0.3">
      <c r="E26" s="3" t="s">
        <v>28</v>
      </c>
      <c r="F26" s="16">
        <v>16</v>
      </c>
      <c r="G26" s="3" t="s">
        <v>29</v>
      </c>
    </row>
    <row r="27" spans="1:11" x14ac:dyDescent="0.3">
      <c r="E27" s="3" t="s">
        <v>31</v>
      </c>
      <c r="F27" s="3">
        <f>0.00785*F26^2</f>
        <v>2.0095999999999998</v>
      </c>
      <c r="G27" s="3" t="s">
        <v>32</v>
      </c>
    </row>
    <row r="28" spans="1:11" x14ac:dyDescent="0.3">
      <c r="E28" s="3" t="s">
        <v>52</v>
      </c>
      <c r="F28" s="8">
        <f>+INT(F25/F27)</f>
        <v>6</v>
      </c>
      <c r="G28" s="3" t="s">
        <v>18</v>
      </c>
    </row>
    <row r="29" spans="1:11" x14ac:dyDescent="0.3">
      <c r="E29" s="26" t="s">
        <v>58</v>
      </c>
      <c r="F29" s="26">
        <f>+F28*F27</f>
        <v>12.057599999999999</v>
      </c>
      <c r="G29" s="26" t="s">
        <v>32</v>
      </c>
    </row>
    <row r="30" spans="1:11" x14ac:dyDescent="0.3">
      <c r="E30" s="3" t="s">
        <v>59</v>
      </c>
      <c r="F30" s="25">
        <f>+F29/F8/F11</f>
        <v>1.2179393939393938E-2</v>
      </c>
      <c r="G30" s="20" t="str">
        <f>+IF(F30&gt;F22/2,"OK","NO")</f>
        <v>OK</v>
      </c>
    </row>
    <row r="31" spans="1:11" x14ac:dyDescent="0.3">
      <c r="E31" s="3" t="s">
        <v>62</v>
      </c>
      <c r="F31" s="3">
        <f>+F21*B17/0.85/B16/F8</f>
        <v>14.185411764705881</v>
      </c>
      <c r="G31" s="3" t="s">
        <v>27</v>
      </c>
    </row>
    <row r="32" spans="1:11" x14ac:dyDescent="0.3">
      <c r="E32" s="11" t="s">
        <v>63</v>
      </c>
      <c r="F32" s="27">
        <f>+(2*F5/B13)^0.33333</f>
        <v>2.9393324678247161</v>
      </c>
      <c r="G32" s="11" t="s">
        <v>3</v>
      </c>
    </row>
  </sheetData>
  <mergeCells count="9">
    <mergeCell ref="A15:B15"/>
    <mergeCell ref="B20:C20"/>
    <mergeCell ref="B21:C21"/>
    <mergeCell ref="A1:C1"/>
    <mergeCell ref="E1:K1"/>
    <mergeCell ref="I2:K2"/>
    <mergeCell ref="F6:G6"/>
    <mergeCell ref="E7:G7"/>
    <mergeCell ref="B8:C8"/>
  </mergeCells>
  <dataValidations count="4">
    <dataValidation type="list" allowBlank="1" showInputMessage="1" showErrorMessage="1" sqref="J8" xr:uid="{D6E14DD4-E730-4448-8DCD-E907E2E73FAE}">
      <formula1>"10,12"</formula1>
    </dataValidation>
    <dataValidation type="list" allowBlank="1" showInputMessage="1" showErrorMessage="1" sqref="C15" xr:uid="{9D1FC601-699F-4546-B6F7-CCC98DB2774F}">
      <formula1>"Alta,Media"</formula1>
    </dataValidation>
    <dataValidation type="list" allowBlank="1" showInputMessage="1" showErrorMessage="1" sqref="F16 F26" xr:uid="{3B0BA0D0-AEC5-47BA-856B-DEDF47C0D0F7}">
      <formula1>"10,12,14,16,18,20,22,25,28,32,35"</formula1>
    </dataValidation>
    <dataValidation type="list" allowBlank="1" showInputMessage="1" showErrorMessage="1" sqref="B8" xr:uid="{1FE4401E-5B95-4C11-9832-1E52BA3BA305}">
      <formula1>"Vivienda,Oficina,Pesada,Parqueaderos"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VIGAS horm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2023</dc:creator>
  <cp:lastModifiedBy>USUARIO 2023</cp:lastModifiedBy>
  <dcterms:created xsi:type="dcterms:W3CDTF">2026-03-12T13:16:15Z</dcterms:created>
  <dcterms:modified xsi:type="dcterms:W3CDTF">2026-03-12T13:16:48Z</dcterms:modified>
</cp:coreProperties>
</file>