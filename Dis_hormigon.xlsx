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UARIO 2023\Desktop\INTERFAZ\"/>
    </mc:Choice>
  </mc:AlternateContent>
  <xr:revisionPtr revIDLastSave="0" documentId="8_{849BE8FF-E41C-471B-BD37-2B91CA28E865}" xr6:coauthVersionLast="47" xr6:coauthVersionMax="47" xr10:uidLastSave="{00000000-0000-0000-0000-000000000000}"/>
  <bookViews>
    <workbookView xWindow="-108" yWindow="-108" windowWidth="23256" windowHeight="12456" activeTab="5" xr2:uid="{F8546C9B-3894-4BF6-AC4B-CD527598D282}"/>
  </bookViews>
  <sheets>
    <sheet name="losa horm" sheetId="1" r:id="rId1"/>
    <sheet name="VIGAS horm" sheetId="2" r:id="rId2"/>
    <sheet name="COL horm" sheetId="3" r:id="rId3"/>
    <sheet name="SISMICA" sheetId="7" r:id="rId4"/>
    <sheet name="DATOS SISMICOS" sheetId="10" r:id="rId5"/>
    <sheet name="Hoja4" sheetId="11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7" l="1"/>
  <c r="G13" i="7"/>
  <c r="H13" i="7" s="1"/>
  <c r="G14" i="7"/>
  <c r="H14" i="7" s="1"/>
  <c r="T3" i="1"/>
  <c r="T9" i="1"/>
  <c r="T5" i="1"/>
  <c r="T6" i="1" s="1"/>
  <c r="T7" i="1" s="1"/>
  <c r="T10" i="1" s="1"/>
  <c r="T11" i="1" s="1"/>
  <c r="T4" i="1"/>
  <c r="Q11" i="1"/>
  <c r="N11" i="1"/>
  <c r="Q9" i="1"/>
  <c r="Q5" i="1"/>
  <c r="Q4" i="1"/>
  <c r="Q3" i="1"/>
  <c r="Q6" i="1"/>
  <c r="Q7" i="1" s="1"/>
  <c r="Q10" i="1" s="1"/>
  <c r="N10" i="1"/>
  <c r="N9" i="1"/>
  <c r="N3" i="1"/>
  <c r="E28" i="11"/>
  <c r="F27" i="11"/>
  <c r="F25" i="11"/>
  <c r="F24" i="11"/>
  <c r="P9" i="11"/>
  <c r="Q9" i="11" s="1"/>
  <c r="P8" i="11"/>
  <c r="Q8" i="11"/>
  <c r="Q7" i="11"/>
  <c r="P7" i="11"/>
  <c r="B27" i="10"/>
  <c r="B26" i="10"/>
  <c r="B25" i="10"/>
  <c r="B11" i="10"/>
  <c r="E29" i="10" s="1"/>
  <c r="F29" i="10" s="1"/>
  <c r="G42" i="10"/>
  <c r="D42" i="10"/>
  <c r="E38" i="10"/>
  <c r="E37" i="10"/>
  <c r="E18" i="10"/>
  <c r="F18" i="10" s="1"/>
  <c r="E16" i="10"/>
  <c r="F16" i="10" s="1"/>
  <c r="E22" i="10"/>
  <c r="F22" i="10" s="1"/>
  <c r="E10" i="10"/>
  <c r="F10" i="10" s="1"/>
  <c r="E24" i="10" l="1"/>
  <c r="F24" i="10" s="1"/>
  <c r="E25" i="10"/>
  <c r="F25" i="10" s="1"/>
  <c r="E7" i="10"/>
  <c r="F7" i="10" s="1"/>
  <c r="E15" i="10"/>
  <c r="F15" i="10" s="1"/>
  <c r="E23" i="10"/>
  <c r="F23" i="10" s="1"/>
  <c r="E8" i="10"/>
  <c r="F8" i="10" s="1"/>
  <c r="E30" i="10"/>
  <c r="F30" i="10" s="1"/>
  <c r="E9" i="10"/>
  <c r="F9" i="10" s="1"/>
  <c r="E17" i="10"/>
  <c r="F17" i="10" s="1"/>
  <c r="E31" i="10"/>
  <c r="F31" i="10" s="1"/>
  <c r="E32" i="10"/>
  <c r="F32" i="10" s="1"/>
  <c r="E11" i="10"/>
  <c r="F11" i="10" s="1"/>
  <c r="E19" i="10"/>
  <c r="F19" i="10" s="1"/>
  <c r="E26" i="10"/>
  <c r="F26" i="10" s="1"/>
  <c r="E4" i="10"/>
  <c r="F4" i="10" s="1"/>
  <c r="E33" i="10"/>
  <c r="F33" i="10" s="1"/>
  <c r="E12" i="10"/>
  <c r="F12" i="10" s="1"/>
  <c r="E20" i="10"/>
  <c r="F20" i="10" s="1"/>
  <c r="E5" i="10"/>
  <c r="F5" i="10" s="1"/>
  <c r="E27" i="10"/>
  <c r="F27" i="10" s="1"/>
  <c r="E3" i="10"/>
  <c r="F3" i="10" s="1"/>
  <c r="E13" i="10"/>
  <c r="F13" i="10" s="1"/>
  <c r="E21" i="10"/>
  <c r="F21" i="10" s="1"/>
  <c r="E6" i="10"/>
  <c r="F6" i="10" s="1"/>
  <c r="E28" i="10"/>
  <c r="F28" i="10" s="1"/>
  <c r="E14" i="10"/>
  <c r="F14" i="10" s="1"/>
  <c r="K2" i="7" l="1"/>
  <c r="L14" i="7"/>
  <c r="M14" i="7" s="1"/>
  <c r="L13" i="7"/>
  <c r="M13" i="7" s="1"/>
  <c r="U3" i="7"/>
  <c r="U7" i="7" s="1"/>
  <c r="P7" i="7"/>
  <c r="Q7" i="7" s="1"/>
  <c r="P8" i="7"/>
  <c r="Q8" i="7" s="1"/>
  <c r="P9" i="7"/>
  <c r="Q9" i="7" s="1"/>
  <c r="P15" i="7"/>
  <c r="Q15" i="7" s="1"/>
  <c r="P21" i="7"/>
  <c r="Q21" i="7" s="1"/>
  <c r="P22" i="7"/>
  <c r="Q22" i="7" s="1"/>
  <c r="P16" i="7"/>
  <c r="Q16" i="7" s="1"/>
  <c r="P12" i="7" l="1"/>
  <c r="Q12" i="7" s="1"/>
  <c r="P11" i="7"/>
  <c r="Q11" i="7" s="1"/>
  <c r="P29" i="7"/>
  <c r="Q29" i="7" s="1"/>
  <c r="P27" i="7"/>
  <c r="Q27" i="7" s="1"/>
  <c r="P6" i="7"/>
  <c r="F4" i="7" s="1"/>
  <c r="F5" i="7" s="1"/>
  <c r="P13" i="7"/>
  <c r="Q13" i="7" s="1"/>
  <c r="P31" i="7"/>
  <c r="Q31" i="7" s="1"/>
  <c r="P28" i="7"/>
  <c r="Q28" i="7" s="1"/>
  <c r="P26" i="7"/>
  <c r="Q26" i="7" s="1"/>
  <c r="P5" i="7"/>
  <c r="Q5" i="7" s="1"/>
  <c r="P25" i="7"/>
  <c r="Q25" i="7" s="1"/>
  <c r="P30" i="7"/>
  <c r="Q30" i="7" s="1"/>
  <c r="P24" i="7"/>
  <c r="Q24" i="7" s="1"/>
  <c r="P14" i="7"/>
  <c r="Q14" i="7" s="1"/>
  <c r="P10" i="7"/>
  <c r="Q10" i="7" s="1"/>
  <c r="P23" i="7"/>
  <c r="Q23" i="7" s="1"/>
  <c r="P20" i="7"/>
  <c r="Q20" i="7" s="1"/>
  <c r="P4" i="7"/>
  <c r="P19" i="7"/>
  <c r="Q19" i="7" s="1"/>
  <c r="P3" i="7"/>
  <c r="Q3" i="7" s="1"/>
  <c r="P18" i="7"/>
  <c r="Q18" i="7" s="1"/>
  <c r="P2" i="7"/>
  <c r="Q2" i="7" s="1"/>
  <c r="P17" i="7"/>
  <c r="Q17" i="7" s="1"/>
  <c r="P32" i="7"/>
  <c r="Q32" i="7" s="1"/>
  <c r="U4" i="7"/>
  <c r="Q6" i="7" l="1"/>
  <c r="K4" i="7"/>
  <c r="K5" i="7" s="1"/>
  <c r="Q4" i="7"/>
  <c r="J17" i="2"/>
  <c r="R20" i="3"/>
  <c r="Q20" i="3"/>
  <c r="R19" i="3"/>
  <c r="Q19" i="3"/>
  <c r="N26" i="3"/>
  <c r="N25" i="3" s="1"/>
  <c r="N22" i="3"/>
  <c r="O7" i="3"/>
  <c r="O8" i="3" s="1"/>
  <c r="J15" i="3"/>
  <c r="G15" i="3" s="1"/>
  <c r="J5" i="3"/>
  <c r="J11" i="3" s="1"/>
  <c r="K11" i="3" s="1"/>
  <c r="J4" i="3"/>
  <c r="J2" i="3"/>
  <c r="J3" i="3" s="1"/>
  <c r="F6" i="3"/>
  <c r="B15" i="3"/>
  <c r="B14" i="3"/>
  <c r="C10" i="3"/>
  <c r="A10" i="3"/>
  <c r="B7" i="3"/>
  <c r="B6" i="3"/>
  <c r="B5" i="3"/>
  <c r="B4" i="3"/>
  <c r="B3" i="3"/>
  <c r="B2" i="3"/>
  <c r="F13" i="2"/>
  <c r="J12" i="2"/>
  <c r="J9" i="2"/>
  <c r="B21" i="2"/>
  <c r="B20" i="2"/>
  <c r="F27" i="2"/>
  <c r="F17" i="2"/>
  <c r="F12" i="2"/>
  <c r="G12" i="2" s="1"/>
  <c r="B12" i="2"/>
  <c r="C11" i="2"/>
  <c r="A11" i="2"/>
  <c r="B3" i="2"/>
  <c r="B4" i="2"/>
  <c r="F3" i="2" s="1"/>
  <c r="B5" i="2"/>
  <c r="B6" i="2"/>
  <c r="B7" i="2"/>
  <c r="B2" i="2"/>
  <c r="F2" i="2" s="1"/>
  <c r="J12" i="1"/>
  <c r="B19" i="1"/>
  <c r="B18" i="1"/>
  <c r="I25" i="1"/>
  <c r="I26" i="1" s="1"/>
  <c r="G27" i="1"/>
  <c r="G25" i="1"/>
  <c r="G26" i="1" s="1"/>
  <c r="F25" i="1"/>
  <c r="F15" i="1"/>
  <c r="I27" i="1" s="1"/>
  <c r="F2" i="1"/>
  <c r="F4" i="1" s="1"/>
  <c r="F5" i="1" s="1"/>
  <c r="V4" i="7" l="1"/>
  <c r="V7" i="7"/>
  <c r="V6" i="7"/>
  <c r="J14" i="2"/>
  <c r="F14" i="2"/>
  <c r="N20" i="3"/>
  <c r="R18" i="3" s="1"/>
  <c r="S19" i="3"/>
  <c r="S39" i="3" s="1"/>
  <c r="J13" i="2"/>
  <c r="S20" i="3"/>
  <c r="S40" i="3" s="1"/>
  <c r="B11" i="3"/>
  <c r="F2" i="3"/>
  <c r="J11" i="1"/>
  <c r="J13" i="1" s="1"/>
  <c r="J14" i="1" s="1"/>
  <c r="J15" i="1"/>
  <c r="N23" i="3"/>
  <c r="F15" i="2"/>
  <c r="F18" i="2" s="1"/>
  <c r="J6" i="2"/>
  <c r="P5" i="3"/>
  <c r="P3" i="3"/>
  <c r="J6" i="3"/>
  <c r="J13" i="3" s="1"/>
  <c r="J14" i="3" s="1"/>
  <c r="G16" i="3" s="1"/>
  <c r="O9" i="3"/>
  <c r="O4" i="3" s="1"/>
  <c r="J10" i="3"/>
  <c r="K10" i="3" s="1"/>
  <c r="J9" i="3"/>
  <c r="K9" i="3" s="1"/>
  <c r="H25" i="1"/>
  <c r="F6" i="1"/>
  <c r="F27" i="1"/>
  <c r="H27" i="1" s="1"/>
  <c r="F26" i="1"/>
  <c r="P4" i="3" l="1"/>
  <c r="Q3" i="3"/>
  <c r="J16" i="1"/>
  <c r="B12" i="1" s="1"/>
  <c r="J19" i="3"/>
  <c r="F28" i="1"/>
  <c r="H26" i="1"/>
  <c r="H28" i="1" s="1"/>
  <c r="B11" i="2" l="1"/>
  <c r="B13" i="2" s="1"/>
  <c r="N5" i="1" s="1"/>
  <c r="N6" i="1" s="1"/>
  <c r="N7" i="1" s="1"/>
  <c r="F16" i="1"/>
  <c r="J25" i="1" s="1"/>
  <c r="K25" i="1" s="1"/>
  <c r="B10" i="3"/>
  <c r="B12" i="3" s="1"/>
  <c r="F4" i="3" s="1"/>
  <c r="F5" i="3" s="1"/>
  <c r="F4" i="2"/>
  <c r="J3" i="2"/>
  <c r="J27" i="1" l="1"/>
  <c r="K27" i="1" s="1"/>
  <c r="J26" i="1"/>
  <c r="K26" i="1" s="1"/>
  <c r="F10" i="2"/>
  <c r="F19" i="2"/>
  <c r="F20" i="2" s="1"/>
  <c r="K28" i="1"/>
  <c r="F7" i="1" s="1"/>
  <c r="F21" i="2" l="1"/>
  <c r="F24" i="2"/>
  <c r="G24" i="2" s="1"/>
  <c r="E8" i="1"/>
  <c r="F17" i="1"/>
  <c r="F18" i="1" l="1"/>
  <c r="F20" i="1"/>
  <c r="F21" i="1" s="1"/>
  <c r="N16" i="3"/>
  <c r="F25" i="2"/>
  <c r="F28" i="2" s="1"/>
  <c r="F29" i="2" s="1"/>
  <c r="J18" i="2"/>
  <c r="F22" i="2"/>
  <c r="G22" i="2" s="1"/>
  <c r="F31" i="2"/>
  <c r="F5" i="2" s="1"/>
  <c r="F32" i="2" l="1"/>
  <c r="F6" i="2"/>
  <c r="N17" i="3"/>
  <c r="F30" i="2"/>
  <c r="G30" i="2" s="1"/>
  <c r="J19" i="2"/>
  <c r="J20" i="3" s="1"/>
  <c r="J4" i="2" l="1"/>
  <c r="J5" i="2" s="1"/>
  <c r="J7" i="2" s="1"/>
  <c r="J10" i="2" s="1"/>
  <c r="J11" i="2" s="1"/>
  <c r="N18" i="3"/>
  <c r="N19" i="3" s="1"/>
  <c r="Q18" i="3" s="1"/>
  <c r="S18" i="3" s="1"/>
  <c r="S38" i="3" s="1"/>
  <c r="S41" i="3" s="1"/>
  <c r="P21" i="3" s="1"/>
  <c r="K19" i="3"/>
  <c r="I21" i="3" s="1"/>
</calcChain>
</file>

<file path=xl/sharedStrings.xml><?xml version="1.0" encoding="utf-8"?>
<sst xmlns="http://schemas.openxmlformats.org/spreadsheetml/2006/main" count="504" uniqueCount="266">
  <si>
    <t>Datos Arq</t>
  </si>
  <si>
    <t>L1</t>
  </si>
  <si>
    <t>L2</t>
  </si>
  <si>
    <t>L3</t>
  </si>
  <si>
    <t>L4</t>
  </si>
  <si>
    <t>m</t>
  </si>
  <si>
    <t>Pisos</t>
  </si>
  <si>
    <t>u</t>
  </si>
  <si>
    <t>He</t>
  </si>
  <si>
    <t>Losa</t>
  </si>
  <si>
    <t>Lmax</t>
  </si>
  <si>
    <t>hmin</t>
  </si>
  <si>
    <t>cm</t>
  </si>
  <si>
    <t>Datos losa</t>
  </si>
  <si>
    <t>Hl</t>
  </si>
  <si>
    <t>bn</t>
  </si>
  <si>
    <t>bb</t>
  </si>
  <si>
    <t>L total</t>
  </si>
  <si>
    <t>Imin</t>
  </si>
  <si>
    <t>cm4</t>
  </si>
  <si>
    <t>A</t>
  </si>
  <si>
    <t>tc</t>
  </si>
  <si>
    <t>y</t>
  </si>
  <si>
    <t>Ay</t>
  </si>
  <si>
    <t>cg</t>
  </si>
  <si>
    <t>Io</t>
  </si>
  <si>
    <t>d2</t>
  </si>
  <si>
    <t>It</t>
  </si>
  <si>
    <t>I losa</t>
  </si>
  <si>
    <t>Viga int</t>
  </si>
  <si>
    <t>L real</t>
  </si>
  <si>
    <t>Paredes</t>
  </si>
  <si>
    <t>Alivian</t>
  </si>
  <si>
    <t>t/m2</t>
  </si>
  <si>
    <t>Cm</t>
  </si>
  <si>
    <t>V total</t>
  </si>
  <si>
    <t>m3</t>
  </si>
  <si>
    <t>V bloq</t>
  </si>
  <si>
    <t>V horm</t>
  </si>
  <si>
    <t>Peso</t>
  </si>
  <si>
    <t>t</t>
  </si>
  <si>
    <t>Area</t>
  </si>
  <si>
    <t>m2</t>
  </si>
  <si>
    <t>P horm</t>
  </si>
  <si>
    <t>h equival</t>
  </si>
  <si>
    <t>L max</t>
  </si>
  <si>
    <t>Pesado</t>
  </si>
  <si>
    <t>Viga</t>
  </si>
  <si>
    <t>Lv</t>
  </si>
  <si>
    <t>Lt</t>
  </si>
  <si>
    <t>Mdis</t>
  </si>
  <si>
    <t>Uso</t>
  </si>
  <si>
    <t>Vivienda</t>
  </si>
  <si>
    <t>Cv</t>
  </si>
  <si>
    <t>Cu</t>
  </si>
  <si>
    <t>t-m</t>
  </si>
  <si>
    <t>Mres</t>
  </si>
  <si>
    <t>D/C</t>
  </si>
  <si>
    <t>Datos viga</t>
  </si>
  <si>
    <t>b</t>
  </si>
  <si>
    <t>rec</t>
  </si>
  <si>
    <t>fc</t>
  </si>
  <si>
    <t>kg/cm2</t>
  </si>
  <si>
    <t>fy</t>
  </si>
  <si>
    <t>hdef</t>
  </si>
  <si>
    <t>rel</t>
  </si>
  <si>
    <t>d</t>
  </si>
  <si>
    <t>Asmin</t>
  </si>
  <si>
    <t>cm2</t>
  </si>
  <si>
    <t>fi</t>
  </si>
  <si>
    <t>mm</t>
  </si>
  <si>
    <t>Ab</t>
  </si>
  <si>
    <t>Num</t>
  </si>
  <si>
    <t>As(-)</t>
  </si>
  <si>
    <t>As total</t>
  </si>
  <si>
    <t>sep</t>
  </si>
  <si>
    <t>As(+)</t>
  </si>
  <si>
    <t>a</t>
  </si>
  <si>
    <t>pb</t>
  </si>
  <si>
    <t>Z sismica</t>
  </si>
  <si>
    <t>Alta</t>
  </si>
  <si>
    <t>pmax</t>
  </si>
  <si>
    <t>Cuant</t>
  </si>
  <si>
    <t>Cortante</t>
  </si>
  <si>
    <t>Mpr(-)</t>
  </si>
  <si>
    <t>Mpr(+)</t>
  </si>
  <si>
    <t>Vug</t>
  </si>
  <si>
    <t>Vum</t>
  </si>
  <si>
    <t>Vu</t>
  </si>
  <si>
    <t>Vc</t>
  </si>
  <si>
    <t>Vs</t>
  </si>
  <si>
    <t>s</t>
  </si>
  <si>
    <t>smax</t>
  </si>
  <si>
    <t>Zprot</t>
  </si>
  <si>
    <t>Z centrl</t>
  </si>
  <si>
    <t>Lmax vol</t>
  </si>
  <si>
    <t>Calculos</t>
  </si>
  <si>
    <t>At</t>
  </si>
  <si>
    <t>Pult</t>
  </si>
  <si>
    <t>fm</t>
  </si>
  <si>
    <t>Ag nec</t>
  </si>
  <si>
    <t>Datos de col</t>
  </si>
  <si>
    <t>ancho</t>
  </si>
  <si>
    <t>prof</t>
  </si>
  <si>
    <t>var a</t>
  </si>
  <si>
    <t>var p</t>
  </si>
  <si>
    <t xml:space="preserve">fi esq </t>
  </si>
  <si>
    <t>fi long</t>
  </si>
  <si>
    <t>fi est</t>
  </si>
  <si>
    <t xml:space="preserve">sep </t>
  </si>
  <si>
    <t>vinch</t>
  </si>
  <si>
    <t>Num var</t>
  </si>
  <si>
    <t>As</t>
  </si>
  <si>
    <t>Chequeos</t>
  </si>
  <si>
    <t>ac</t>
  </si>
  <si>
    <t>pc</t>
  </si>
  <si>
    <t>Ac</t>
  </si>
  <si>
    <t>sep a</t>
  </si>
  <si>
    <t>sep b</t>
  </si>
  <si>
    <t>Confinamiento</t>
  </si>
  <si>
    <t>Ash</t>
  </si>
  <si>
    <t>vinc</t>
  </si>
  <si>
    <t>sep max</t>
  </si>
  <si>
    <t>M</t>
  </si>
  <si>
    <t>P</t>
  </si>
  <si>
    <t>c</t>
  </si>
  <si>
    <t>d'</t>
  </si>
  <si>
    <t>CF - VD</t>
  </si>
  <si>
    <t>∑Mcol</t>
  </si>
  <si>
    <t>∑Mvig</t>
  </si>
  <si>
    <t>NF - VD</t>
  </si>
  <si>
    <t>T1</t>
  </si>
  <si>
    <t>T2</t>
  </si>
  <si>
    <t>Vcol</t>
  </si>
  <si>
    <t>Vj</t>
  </si>
  <si>
    <t>INT</t>
  </si>
  <si>
    <t>MED</t>
  </si>
  <si>
    <t>ESQ</t>
  </si>
  <si>
    <t>Tipo col</t>
  </si>
  <si>
    <t>Cond</t>
  </si>
  <si>
    <t>Bb</t>
  </si>
  <si>
    <r>
      <t xml:space="preserve">a </t>
    </r>
    <r>
      <rPr>
        <sz val="11"/>
        <color theme="1"/>
        <rFont val="Aptos Narrow"/>
        <family val="2"/>
      </rPr>
      <t>def</t>
    </r>
  </si>
  <si>
    <t>Vn</t>
  </si>
  <si>
    <t>Condiciones</t>
  </si>
  <si>
    <t>Act</t>
  </si>
  <si>
    <t>Res</t>
  </si>
  <si>
    <t>Vhz</t>
  </si>
  <si>
    <t>Vvt</t>
  </si>
  <si>
    <t>Adh</t>
  </si>
  <si>
    <t>bcol</t>
  </si>
  <si>
    <t>at</t>
  </si>
  <si>
    <t>t/m</t>
  </si>
  <si>
    <t>h</t>
  </si>
  <si>
    <t>C50</t>
  </si>
  <si>
    <t>var x</t>
  </si>
  <si>
    <t>var y</t>
  </si>
  <si>
    <t>fi esq</t>
  </si>
  <si>
    <t>fi l</t>
  </si>
  <si>
    <t>C30X40</t>
  </si>
  <si>
    <t>C40X30</t>
  </si>
  <si>
    <t>Plosa eq</t>
  </si>
  <si>
    <t>P etabs</t>
  </si>
  <si>
    <t>DATOS SIIMICOS</t>
  </si>
  <si>
    <t>I</t>
  </si>
  <si>
    <t xml:space="preserve"> fi p</t>
  </si>
  <si>
    <t>fi e</t>
  </si>
  <si>
    <t>R</t>
  </si>
  <si>
    <t>n</t>
  </si>
  <si>
    <t>Z</t>
  </si>
  <si>
    <t xml:space="preserve">Fa  </t>
  </si>
  <si>
    <t xml:space="preserve">Fd </t>
  </si>
  <si>
    <t>Fs</t>
  </si>
  <si>
    <t>r</t>
  </si>
  <si>
    <t>Tc</t>
  </si>
  <si>
    <t>T</t>
  </si>
  <si>
    <t>Sa</t>
  </si>
  <si>
    <t>T f</t>
  </si>
  <si>
    <t>x</t>
  </si>
  <si>
    <t>Coef</t>
  </si>
  <si>
    <t>Saine</t>
  </si>
  <si>
    <t>Deriva x</t>
  </si>
  <si>
    <t>elas</t>
  </si>
  <si>
    <t>inel</t>
  </si>
  <si>
    <t>Deriva Y</t>
  </si>
  <si>
    <t>Calculos Met</t>
  </si>
  <si>
    <t>Calculos Horm</t>
  </si>
  <si>
    <t>1</t>
  </si>
  <si>
    <t>3</t>
  </si>
  <si>
    <t>2</t>
  </si>
  <si>
    <t>6</t>
  </si>
  <si>
    <t>9</t>
  </si>
  <si>
    <t>4</t>
  </si>
  <si>
    <t>12</t>
  </si>
  <si>
    <t>5</t>
  </si>
  <si>
    <t>7</t>
  </si>
  <si>
    <t>8</t>
  </si>
  <si>
    <t>11</t>
  </si>
  <si>
    <t>L</t>
  </si>
  <si>
    <t>Mu</t>
  </si>
  <si>
    <t>Wr</t>
  </si>
  <si>
    <t>COEFICIENTES PARA ESPECTRO DE RESPUESTAS</t>
  </si>
  <si>
    <t>Sa ine</t>
  </si>
  <si>
    <t>Zona sísmica</t>
  </si>
  <si>
    <t>V</t>
  </si>
  <si>
    <t>Tabla 1</t>
  </si>
  <si>
    <t>Valor Factor Z</t>
  </si>
  <si>
    <t>Tipo de suelo</t>
  </si>
  <si>
    <t>D</t>
  </si>
  <si>
    <t>Estudio</t>
  </si>
  <si>
    <r>
      <t xml:space="preserve">Coeficiente de ampliación de suelo en la zona de periodo corto  </t>
    </r>
    <r>
      <rPr>
        <b/>
        <sz val="9"/>
        <color indexed="8"/>
        <rFont val="Calibri"/>
        <family val="2"/>
      </rPr>
      <t>Fa</t>
    </r>
  </si>
  <si>
    <t>Tabla 3</t>
  </si>
  <si>
    <r>
      <t xml:space="preserve">Ampliación de las ordenadas del espectro elástico de respuesta de desplazamiento para diseño en roca  </t>
    </r>
    <r>
      <rPr>
        <b/>
        <sz val="9"/>
        <color indexed="8"/>
        <rFont val="Calibri"/>
        <family val="2"/>
      </rPr>
      <t>Fd</t>
    </r>
  </si>
  <si>
    <t>Tabla 4</t>
  </si>
  <si>
    <r>
      <t xml:space="preserve">Comportamiento no lineal de los suelos </t>
    </r>
    <r>
      <rPr>
        <b/>
        <sz val="9"/>
        <color indexed="8"/>
        <rFont val="Calibri"/>
        <family val="2"/>
      </rPr>
      <t>Fs</t>
    </r>
  </si>
  <si>
    <t>Tabla 5</t>
  </si>
  <si>
    <r>
      <t xml:space="preserve">Relación de amplificación espectral  </t>
    </r>
    <r>
      <rPr>
        <b/>
        <sz val="9"/>
        <color indexed="8"/>
        <rFont val="Calibri"/>
        <family val="2"/>
      </rPr>
      <t xml:space="preserve"> </t>
    </r>
    <r>
      <rPr>
        <b/>
        <sz val="9"/>
        <color indexed="8"/>
        <rFont val="Calibri"/>
        <family val="2"/>
      </rPr>
      <t>ɳ</t>
    </r>
  </si>
  <si>
    <t>Sección 3,3,1</t>
  </si>
  <si>
    <r>
      <t xml:space="preserve">Factor usado en el espectro de diseño elástico  </t>
    </r>
    <r>
      <rPr>
        <b/>
        <sz val="9"/>
        <color indexed="8"/>
        <rFont val="Calibri"/>
        <family val="2"/>
      </rPr>
      <t>r</t>
    </r>
  </si>
  <si>
    <r>
      <t xml:space="preserve">Periodo limite de vibración en el espectro elástico  </t>
    </r>
    <r>
      <rPr>
        <b/>
        <sz val="9"/>
        <color indexed="8"/>
        <rFont val="Calibri"/>
        <family val="2"/>
      </rPr>
      <t>Tc</t>
    </r>
  </si>
  <si>
    <t>FACTORES PARA LA REDUCCION DEL ESPECTRO</t>
  </si>
  <si>
    <r>
      <t xml:space="preserve">Factor de reducción de resistencia sísmica </t>
    </r>
    <r>
      <rPr>
        <b/>
        <sz val="9"/>
        <color indexed="8"/>
        <rFont val="Calibri"/>
        <family val="2"/>
      </rPr>
      <t>R</t>
    </r>
  </si>
  <si>
    <t>Sección 6,3,2</t>
  </si>
  <si>
    <r>
      <t xml:space="preserve">Coeficiente de configuración en planta </t>
    </r>
    <r>
      <rPr>
        <b/>
        <sz val="9"/>
        <color indexed="8"/>
        <rFont val="Calibri"/>
        <family val="2"/>
      </rPr>
      <t>ɸ p</t>
    </r>
  </si>
  <si>
    <r>
      <t xml:space="preserve">Coeficiente de configuración en elevación </t>
    </r>
    <r>
      <rPr>
        <b/>
        <sz val="9"/>
        <color indexed="8"/>
        <rFont val="Calibri"/>
        <family val="2"/>
      </rPr>
      <t>ɸ e</t>
    </r>
  </si>
  <si>
    <r>
      <t xml:space="preserve">Factor de Importancia de la estructura </t>
    </r>
    <r>
      <rPr>
        <b/>
        <sz val="9"/>
        <color indexed="8"/>
        <rFont val="Calibri"/>
        <family val="2"/>
      </rPr>
      <t xml:space="preserve"> I</t>
    </r>
  </si>
  <si>
    <t>Tabla 6</t>
  </si>
  <si>
    <t>PERIODO DE VIBRACION METODO 1</t>
  </si>
  <si>
    <t>Coeficiente que depende del tipo de edificio</t>
  </si>
  <si>
    <t>Sección 6,3,3</t>
  </si>
  <si>
    <t>Altura del edificio</t>
  </si>
  <si>
    <t>Planos</t>
  </si>
  <si>
    <r>
      <t xml:space="preserve">Factor </t>
    </r>
    <r>
      <rPr>
        <sz val="9"/>
        <color indexed="8"/>
        <rFont val="Calibri"/>
        <family val="2"/>
      </rPr>
      <t>α</t>
    </r>
  </si>
  <si>
    <t xml:space="preserve">T  Periodo de vibración </t>
  </si>
  <si>
    <t>Formula</t>
  </si>
  <si>
    <t>Aceleración Inelástica  SA ine</t>
  </si>
  <si>
    <t>Cuadro</t>
  </si>
  <si>
    <t>Valor k</t>
  </si>
  <si>
    <t>Seccion 6,3,5</t>
  </si>
  <si>
    <t>TABLE:  Modal Participating Mass Ratios</t>
  </si>
  <si>
    <t>Case</t>
  </si>
  <si>
    <t>Mode</t>
  </si>
  <si>
    <t>Period</t>
  </si>
  <si>
    <t>UX</t>
  </si>
  <si>
    <t>UY</t>
  </si>
  <si>
    <t>UZ</t>
  </si>
  <si>
    <t>SumUX</t>
  </si>
  <si>
    <t>SumUY</t>
  </si>
  <si>
    <t>SumUZ</t>
  </si>
  <si>
    <t>RX</t>
  </si>
  <si>
    <t>RY</t>
  </si>
  <si>
    <t>RZ</t>
  </si>
  <si>
    <t>SumRX</t>
  </si>
  <si>
    <t>SumRY</t>
  </si>
  <si>
    <t>SumRZ</t>
  </si>
  <si>
    <t/>
  </si>
  <si>
    <t>sec</t>
  </si>
  <si>
    <t>Modal</t>
  </si>
  <si>
    <t>10</t>
  </si>
  <si>
    <t>x1</t>
  </si>
  <si>
    <t>x2</t>
  </si>
  <si>
    <t>V prom</t>
  </si>
  <si>
    <t>Aum</t>
  </si>
  <si>
    <t>Val max</t>
  </si>
  <si>
    <t>Distorison SISMO X</t>
  </si>
  <si>
    <t>Nervio</t>
  </si>
  <si>
    <t>As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</si>
</sst>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Symbol"/>
      <family val="1"/>
      <charset val="2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Arial"/>
      <family val="2"/>
    </font>
    <font>
      <b/>
      <sz val="9"/>
      <color indexed="8"/>
      <name val="Calibri"/>
      <family val="2"/>
    </font>
    <font>
      <sz val="9"/>
      <color theme="1"/>
      <name val="Calibri"/>
      <family val="2"/>
    </font>
    <font>
      <sz val="9"/>
      <color indexed="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5">
    <xf numFmtId="0" fontId="0" fillId="0" borderId="0" xfId="0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2" fontId="2" fillId="7" borderId="1" xfId="0" applyNumberFormat="1" applyFont="1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1" fillId="8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1" fillId="8" borderId="1" xfId="0" applyNumberFormat="1" applyFont="1" applyFill="1" applyBorder="1" applyAlignment="1">
      <alignment horizontal="center"/>
    </xf>
    <xf numFmtId="2" fontId="1" fillId="9" borderId="1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2" fontId="1" fillId="2" borderId="0" xfId="0" applyNumberFormat="1" applyFont="1" applyFill="1" applyAlignment="1">
      <alignment horizontal="center"/>
    </xf>
    <xf numFmtId="10" fontId="2" fillId="4" borderId="1" xfId="1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8" fillId="8" borderId="1" xfId="0" applyNumberFormat="1" applyFont="1" applyFill="1" applyBorder="1" applyAlignment="1">
      <alignment horizontal="center"/>
    </xf>
    <xf numFmtId="2" fontId="8" fillId="0" borderId="0" xfId="0" applyNumberFormat="1" applyFont="1" applyAlignment="1">
      <alignment horizontal="center"/>
    </xf>
    <xf numFmtId="10" fontId="2" fillId="0" borderId="0" xfId="1" applyNumberFormat="1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10" fillId="0" borderId="0" xfId="0" applyFont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vertical="justify"/>
    </xf>
    <xf numFmtId="0" fontId="10" fillId="0" borderId="0" xfId="0" applyFont="1" applyAlignment="1">
      <alignment horizontal="center"/>
    </xf>
    <xf numFmtId="0" fontId="12" fillId="0" borderId="1" xfId="0" applyFont="1" applyBorder="1"/>
    <xf numFmtId="166" fontId="10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49" fontId="7" fillId="10" borderId="1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49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10" fontId="1" fillId="0" borderId="1" xfId="1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2" borderId="5" xfId="0" applyNumberFormat="1" applyFon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2" fontId="0" fillId="6" borderId="4" xfId="0" applyNumberFormat="1" applyFill="1" applyBorder="1" applyAlignment="1">
      <alignment horizontal="center"/>
    </xf>
    <xf numFmtId="2" fontId="1" fillId="5" borderId="2" xfId="0" applyNumberFormat="1" applyFont="1" applyFill="1" applyBorder="1" applyAlignment="1">
      <alignment horizontal="center"/>
    </xf>
    <xf numFmtId="2" fontId="1" fillId="5" borderId="4" xfId="0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1" fillId="8" borderId="1" xfId="0" applyNumberFormat="1" applyFont="1" applyFill="1" applyBorder="1" applyAlignment="1">
      <alignment horizontal="center"/>
    </xf>
    <xf numFmtId="2" fontId="2" fillId="7" borderId="1" xfId="0" applyNumberFormat="1" applyFont="1" applyFill="1" applyBorder="1" applyAlignment="1">
      <alignment horizont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/>
    </xf>
    <xf numFmtId="2" fontId="2" fillId="4" borderId="3" xfId="0" applyNumberFormat="1" applyFont="1" applyFill="1" applyBorder="1" applyAlignment="1">
      <alignment horizontal="center"/>
    </xf>
    <xf numFmtId="2" fontId="2" fillId="4" borderId="4" xfId="0" applyNumberFormat="1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2" fontId="1" fillId="2" borderId="4" xfId="0" applyNumberFormat="1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49" fontId="7" fillId="12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524718656743249"/>
          <c:y val="6.2202350088148249E-2"/>
          <c:w val="0.70667062165174566"/>
          <c:h val="0.9125044327944844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'COL horm'!$O$3:$O$5</c:f>
              <c:numCache>
                <c:formatCode>0.00</c:formatCode>
                <c:ptCount val="3"/>
                <c:pt idx="0">
                  <c:v>0</c:v>
                </c:pt>
                <c:pt idx="1">
                  <c:v>9.1215501299999993</c:v>
                </c:pt>
                <c:pt idx="2">
                  <c:v>0</c:v>
                </c:pt>
              </c:numCache>
            </c:numRef>
          </c:xVal>
          <c:yVal>
            <c:numRef>
              <c:f>'COL horm'!$P$3:$P$5</c:f>
              <c:numCache>
                <c:formatCode>0.00</c:formatCode>
                <c:ptCount val="3"/>
                <c:pt idx="0">
                  <c:v>197.0172288</c:v>
                </c:pt>
                <c:pt idx="1">
                  <c:v>65.672409599999995</c:v>
                </c:pt>
                <c:pt idx="2">
                  <c:v>-37.981439999999992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C4-4C01-80A4-1855185B7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265568"/>
        <c:axId val="1363266048"/>
      </c:scatterChart>
      <c:valAx>
        <c:axId val="136326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63266048"/>
        <c:crosses val="autoZero"/>
        <c:crossBetween val="midCat"/>
      </c:valAx>
      <c:valAx>
        <c:axId val="136326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6326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SISMICA!$O$2:$O$32</c:f>
              <c:numCache>
                <c:formatCode>0.00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SISMICA!$P$2:$P$32</c:f>
              <c:numCache>
                <c:formatCode>0.00</c:formatCode>
                <c:ptCount val="31"/>
                <c:pt idx="0">
                  <c:v>1.1903999999999999</c:v>
                </c:pt>
                <c:pt idx="1">
                  <c:v>1.1903999999999999</c:v>
                </c:pt>
                <c:pt idx="2">
                  <c:v>1.1903999999999999</c:v>
                </c:pt>
                <c:pt idx="3">
                  <c:v>1.1903999999999999</c:v>
                </c:pt>
                <c:pt idx="4">
                  <c:v>1.1903999999999999</c:v>
                </c:pt>
                <c:pt idx="5">
                  <c:v>1.1903999999999999</c:v>
                </c:pt>
                <c:pt idx="6">
                  <c:v>1.1903999999999999</c:v>
                </c:pt>
                <c:pt idx="7">
                  <c:v>1.1872256000000001</c:v>
                </c:pt>
                <c:pt idx="8">
                  <c:v>1.0388223999999999</c:v>
                </c:pt>
                <c:pt idx="9">
                  <c:v>0.92339768888888896</c:v>
                </c:pt>
                <c:pt idx="10">
                  <c:v>0.83105792000000001</c:v>
                </c:pt>
                <c:pt idx="11">
                  <c:v>0.75550720000000005</c:v>
                </c:pt>
                <c:pt idx="12">
                  <c:v>0.69254826666666669</c:v>
                </c:pt>
                <c:pt idx="13">
                  <c:v>0.63927532307692314</c:v>
                </c:pt>
                <c:pt idx="14">
                  <c:v>0.59361280000000005</c:v>
                </c:pt>
                <c:pt idx="15">
                  <c:v>0.55403861333333326</c:v>
                </c:pt>
                <c:pt idx="16">
                  <c:v>0.51941119999999996</c:v>
                </c:pt>
                <c:pt idx="17">
                  <c:v>0.4888576</c:v>
                </c:pt>
                <c:pt idx="18">
                  <c:v>0.46169884444444448</c:v>
                </c:pt>
                <c:pt idx="19">
                  <c:v>0.43739890526315794</c:v>
                </c:pt>
                <c:pt idx="20">
                  <c:v>0.41552896</c:v>
                </c:pt>
                <c:pt idx="21">
                  <c:v>0.39574186666666661</c:v>
                </c:pt>
                <c:pt idx="22">
                  <c:v>0.37775360000000002</c:v>
                </c:pt>
                <c:pt idx="23">
                  <c:v>0.36132953043478266</c:v>
                </c:pt>
                <c:pt idx="24">
                  <c:v>0.34627413333333334</c:v>
                </c:pt>
                <c:pt idx="25">
                  <c:v>0.33242316799999999</c:v>
                </c:pt>
                <c:pt idx="26">
                  <c:v>0.31963766153846157</c:v>
                </c:pt>
                <c:pt idx="27">
                  <c:v>0.30779922962962963</c:v>
                </c:pt>
                <c:pt idx="28">
                  <c:v>0.29680640000000003</c:v>
                </c:pt>
                <c:pt idx="29">
                  <c:v>0.28657169655172415</c:v>
                </c:pt>
                <c:pt idx="30">
                  <c:v>0.27701930666666663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8B-440A-BC55-48F6F45110AB}"/>
            </c:ext>
          </c:extLst>
        </c:ser>
        <c:ser>
          <c:idx val="1"/>
          <c:order val="1"/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SISMICA!$U$3:$U$4</c:f>
              <c:numCache>
                <c:formatCode>0.00</c:formatCode>
                <c:ptCount val="2"/>
                <c:pt idx="0">
                  <c:v>0.45</c:v>
                </c:pt>
                <c:pt idx="1">
                  <c:v>0.45</c:v>
                </c:pt>
              </c:numCache>
            </c:numRef>
          </c:xVal>
          <c:yVal>
            <c:numRef>
              <c:f>SISMICA!$V$3:$V$4</c:f>
              <c:numCache>
                <c:formatCode>0.00</c:formatCode>
                <c:ptCount val="2"/>
                <c:pt idx="0">
                  <c:v>0</c:v>
                </c:pt>
                <c:pt idx="1">
                  <c:v>1.1903999999999999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8B-440A-BC55-48F6F45110AB}"/>
            </c:ext>
          </c:extLst>
        </c:ser>
        <c:ser>
          <c:idx val="2"/>
          <c:order val="2"/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SISMICA!$U$6:$U$7</c:f>
              <c:numCache>
                <c:formatCode>0.00</c:formatCode>
                <c:ptCount val="2"/>
                <c:pt idx="0">
                  <c:v>0</c:v>
                </c:pt>
                <c:pt idx="1">
                  <c:v>0.45</c:v>
                </c:pt>
              </c:numCache>
            </c:numRef>
          </c:xVal>
          <c:yVal>
            <c:numRef>
              <c:f>SISMICA!$V$6:$V$7</c:f>
              <c:numCache>
                <c:formatCode>0.00</c:formatCode>
                <c:ptCount val="2"/>
                <c:pt idx="0">
                  <c:v>1.1903999999999999</c:v>
                </c:pt>
                <c:pt idx="1">
                  <c:v>1.1903999999999999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8B-440A-BC55-48F6F45110A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SISMICA!$O$2:$O$32</c:f>
              <c:numCache>
                <c:formatCode>0.00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SISMICA!$Q$2:$Q$32</c:f>
              <c:numCache>
                <c:formatCode>0.00</c:formatCode>
                <c:ptCount val="31"/>
                <c:pt idx="0">
                  <c:v>0.22044444444444442</c:v>
                </c:pt>
                <c:pt idx="1">
                  <c:v>0.22044444444444442</c:v>
                </c:pt>
                <c:pt idx="2">
                  <c:v>0.22044444444444442</c:v>
                </c:pt>
                <c:pt idx="3">
                  <c:v>0.22044444444444442</c:v>
                </c:pt>
                <c:pt idx="4">
                  <c:v>0.22044444444444442</c:v>
                </c:pt>
                <c:pt idx="5">
                  <c:v>0.22044444444444442</c:v>
                </c:pt>
                <c:pt idx="6">
                  <c:v>0.22044444444444442</c:v>
                </c:pt>
                <c:pt idx="7">
                  <c:v>0.2198565925925926</c:v>
                </c:pt>
                <c:pt idx="8">
                  <c:v>0.1923745185185185</c:v>
                </c:pt>
                <c:pt idx="9">
                  <c:v>0.1709995720164609</c:v>
                </c:pt>
                <c:pt idx="10">
                  <c:v>0.15389961481481482</c:v>
                </c:pt>
                <c:pt idx="11">
                  <c:v>0.13990874074074075</c:v>
                </c:pt>
                <c:pt idx="12">
                  <c:v>0.12824967901234569</c:v>
                </c:pt>
                <c:pt idx="13">
                  <c:v>0.11838431908831909</c:v>
                </c:pt>
                <c:pt idx="14">
                  <c:v>0.1099282962962963</c:v>
                </c:pt>
                <c:pt idx="15">
                  <c:v>0.10259974320987653</c:v>
                </c:pt>
                <c:pt idx="16">
                  <c:v>9.618725925925925E-2</c:v>
                </c:pt>
                <c:pt idx="17">
                  <c:v>9.0529185185185171E-2</c:v>
                </c:pt>
                <c:pt idx="18">
                  <c:v>8.5499786008230452E-2</c:v>
                </c:pt>
                <c:pt idx="19">
                  <c:v>8.0999797270955173E-2</c:v>
                </c:pt>
                <c:pt idx="20">
                  <c:v>7.6949807407407408E-2</c:v>
                </c:pt>
                <c:pt idx="21">
                  <c:v>7.3285530864197521E-2</c:v>
                </c:pt>
                <c:pt idx="22">
                  <c:v>6.9954370370370375E-2</c:v>
                </c:pt>
                <c:pt idx="23">
                  <c:v>6.6912876006441233E-2</c:v>
                </c:pt>
                <c:pt idx="24">
                  <c:v>6.4124839506172843E-2</c:v>
                </c:pt>
                <c:pt idx="25">
                  <c:v>6.1559845925925921E-2</c:v>
                </c:pt>
                <c:pt idx="26">
                  <c:v>5.9192159544159545E-2</c:v>
                </c:pt>
                <c:pt idx="27">
                  <c:v>5.6999857338820299E-2</c:v>
                </c:pt>
                <c:pt idx="28">
                  <c:v>5.4964148148148151E-2</c:v>
                </c:pt>
                <c:pt idx="29">
                  <c:v>5.3068832694763729E-2</c:v>
                </c:pt>
                <c:pt idx="30">
                  <c:v>5.1299871604938263E-2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8B-440A-BC55-48F6F4511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623312"/>
        <c:axId val="947607472"/>
      </c:scatterChart>
      <c:valAx>
        <c:axId val="94762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947607472"/>
        <c:crosses val="autoZero"/>
        <c:crossBetween val="midCat"/>
      </c:valAx>
      <c:valAx>
        <c:axId val="94760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94762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[1]SISMICA!$D$3:$D$33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[1]SISMICA!$E$3:$E$33</c:f>
              <c:numCache>
                <c:formatCode>General</c:formatCode>
                <c:ptCount val="31"/>
                <c:pt idx="0">
                  <c:v>1.1903999999999999</c:v>
                </c:pt>
                <c:pt idx="1">
                  <c:v>1.1903999999999999</c:v>
                </c:pt>
                <c:pt idx="2">
                  <c:v>1.1903999999999999</c:v>
                </c:pt>
                <c:pt idx="3">
                  <c:v>1.1903999999999999</c:v>
                </c:pt>
                <c:pt idx="4">
                  <c:v>1.1903999999999999</c:v>
                </c:pt>
                <c:pt idx="5">
                  <c:v>1.1903999999999999</c:v>
                </c:pt>
                <c:pt idx="6">
                  <c:v>1.1903999999999999</c:v>
                </c:pt>
                <c:pt idx="7">
                  <c:v>1.1872256000000001</c:v>
                </c:pt>
                <c:pt idx="8">
                  <c:v>1.0388223999999999</c:v>
                </c:pt>
                <c:pt idx="9">
                  <c:v>0.92339768888888896</c:v>
                </c:pt>
                <c:pt idx="10">
                  <c:v>0.83105792000000001</c:v>
                </c:pt>
                <c:pt idx="11">
                  <c:v>0.75550720000000005</c:v>
                </c:pt>
                <c:pt idx="12">
                  <c:v>0.69254826666666669</c:v>
                </c:pt>
                <c:pt idx="13">
                  <c:v>0.63927532307692314</c:v>
                </c:pt>
                <c:pt idx="14">
                  <c:v>0.59361280000000005</c:v>
                </c:pt>
                <c:pt idx="15">
                  <c:v>0.55403861333333326</c:v>
                </c:pt>
                <c:pt idx="16">
                  <c:v>0.51941119999999996</c:v>
                </c:pt>
                <c:pt idx="17">
                  <c:v>0.4888576</c:v>
                </c:pt>
                <c:pt idx="18">
                  <c:v>0.46169884444444448</c:v>
                </c:pt>
                <c:pt idx="19">
                  <c:v>0.43739890526315794</c:v>
                </c:pt>
                <c:pt idx="20">
                  <c:v>0.41552896</c:v>
                </c:pt>
                <c:pt idx="21">
                  <c:v>0.39574186666666661</c:v>
                </c:pt>
                <c:pt idx="22">
                  <c:v>0.37775360000000002</c:v>
                </c:pt>
                <c:pt idx="23">
                  <c:v>0.36132953043478266</c:v>
                </c:pt>
                <c:pt idx="24">
                  <c:v>0.34627413333333334</c:v>
                </c:pt>
                <c:pt idx="25">
                  <c:v>0.33242316799999999</c:v>
                </c:pt>
                <c:pt idx="26">
                  <c:v>0.31963766153846157</c:v>
                </c:pt>
                <c:pt idx="27">
                  <c:v>0.30779922962962963</c:v>
                </c:pt>
                <c:pt idx="28">
                  <c:v>0.29680640000000003</c:v>
                </c:pt>
                <c:pt idx="29">
                  <c:v>0.28657169655172415</c:v>
                </c:pt>
                <c:pt idx="30">
                  <c:v>0.27701930666666663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0A-4E92-8257-9E2E561F087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[1]SISMICA!$D$3:$D$33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[1]SISMICA!$F$3:$F$33</c:f>
              <c:numCache>
                <c:formatCode>General</c:formatCode>
                <c:ptCount val="31"/>
                <c:pt idx="0">
                  <c:v>0.22044444444444442</c:v>
                </c:pt>
                <c:pt idx="1">
                  <c:v>0.22044444444444442</c:v>
                </c:pt>
                <c:pt idx="2">
                  <c:v>0.22044444444444442</c:v>
                </c:pt>
                <c:pt idx="3">
                  <c:v>0.22044444444444442</c:v>
                </c:pt>
                <c:pt idx="4">
                  <c:v>0.22044444444444442</c:v>
                </c:pt>
                <c:pt idx="5">
                  <c:v>0.22044444444444442</c:v>
                </c:pt>
                <c:pt idx="6">
                  <c:v>0.22044444444444442</c:v>
                </c:pt>
                <c:pt idx="7">
                  <c:v>0.2198565925925926</c:v>
                </c:pt>
                <c:pt idx="8">
                  <c:v>0.1923745185185185</c:v>
                </c:pt>
                <c:pt idx="9">
                  <c:v>0.1709995720164609</c:v>
                </c:pt>
                <c:pt idx="10">
                  <c:v>0.15389961481481482</c:v>
                </c:pt>
                <c:pt idx="11">
                  <c:v>0.13990874074074075</c:v>
                </c:pt>
                <c:pt idx="12">
                  <c:v>0.12824967901234569</c:v>
                </c:pt>
                <c:pt idx="13">
                  <c:v>0.11838431908831909</c:v>
                </c:pt>
                <c:pt idx="14">
                  <c:v>0.1099282962962963</c:v>
                </c:pt>
                <c:pt idx="15">
                  <c:v>0.10259974320987653</c:v>
                </c:pt>
                <c:pt idx="16">
                  <c:v>9.618725925925925E-2</c:v>
                </c:pt>
                <c:pt idx="17">
                  <c:v>9.0529185185185171E-2</c:v>
                </c:pt>
                <c:pt idx="18">
                  <c:v>8.5499786008230452E-2</c:v>
                </c:pt>
                <c:pt idx="19">
                  <c:v>8.0999797270955173E-2</c:v>
                </c:pt>
                <c:pt idx="20">
                  <c:v>7.6949807407407408E-2</c:v>
                </c:pt>
                <c:pt idx="21">
                  <c:v>7.3285530864197521E-2</c:v>
                </c:pt>
                <c:pt idx="22">
                  <c:v>6.9954370370370375E-2</c:v>
                </c:pt>
                <c:pt idx="23">
                  <c:v>6.6912876006441233E-2</c:v>
                </c:pt>
                <c:pt idx="24">
                  <c:v>6.4124839506172843E-2</c:v>
                </c:pt>
                <c:pt idx="25">
                  <c:v>6.1559845925925921E-2</c:v>
                </c:pt>
                <c:pt idx="26">
                  <c:v>5.9192159544159545E-2</c:v>
                </c:pt>
                <c:pt idx="27">
                  <c:v>5.6999857338820299E-2</c:v>
                </c:pt>
                <c:pt idx="28">
                  <c:v>5.4964148148148151E-2</c:v>
                </c:pt>
                <c:pt idx="29">
                  <c:v>5.3068832694763729E-2</c:v>
                </c:pt>
                <c:pt idx="30">
                  <c:v>5.1299871604938263E-2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0A-4E92-8257-9E2E561F0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419776"/>
        <c:axId val="1"/>
      </c:scatterChart>
      <c:valAx>
        <c:axId val="151841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EC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1841977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215322</xdr:colOff>
      <xdr:row>0</xdr:row>
      <xdr:rowOff>6927</xdr:rowOff>
    </xdr:from>
    <xdr:to>
      <xdr:col>22</xdr:col>
      <xdr:colOff>396932</xdr:colOff>
      <xdr:row>12</xdr:row>
      <xdr:rowOff>102177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3DEFA4-11FB-84FE-1447-EDBE19BEF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492369</xdr:colOff>
      <xdr:row>0</xdr:row>
      <xdr:rowOff>155331</xdr:rowOff>
    </xdr:from>
    <xdr:to>
      <xdr:col>21</xdr:col>
      <xdr:colOff>199292</xdr:colOff>
      <xdr:row>15</xdr:row>
      <xdr:rowOff>128955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F644D5-3E06-50D9-440B-9A004D66C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62807</xdr:colOff>
      <xdr:row>0</xdr:row>
      <xdr:rowOff>130003</xdr:rowOff>
    </xdr:from>
    <xdr:to>
      <xdr:col>10</xdr:col>
      <xdr:colOff>530629</xdr:colOff>
      <xdr:row>29</xdr:row>
      <xdr:rowOff>5773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81CD96-5C53-4DC8-AD84-9837A9023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857730BA07C3B6BD/Escritorio/EDISSON/ELY%20PILAPANA/cal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m"/>
      <sheetName val="PEDESTAL"/>
      <sheetName val="COL"/>
      <sheetName val="ESCALERA"/>
      <sheetName val="muro corte"/>
      <sheetName val="datos memoria"/>
      <sheetName val="SISMICA"/>
      <sheetName val="RESUMEN"/>
      <sheetName val="CIMENTACION"/>
      <sheetName val="Hoja5"/>
      <sheetName val="Hoja3"/>
      <sheetName val="ETABS"/>
      <sheetName val="ROTULA 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D3">
            <v>0</v>
          </cell>
          <cell r="E3">
            <v>1.1903999999999999</v>
          </cell>
          <cell r="F3">
            <v>0.22044444444444442</v>
          </cell>
        </row>
        <row r="4">
          <cell r="D4">
            <v>0.1</v>
          </cell>
          <cell r="E4">
            <v>1.1903999999999999</v>
          </cell>
          <cell r="F4">
            <v>0.22044444444444442</v>
          </cell>
        </row>
        <row r="5">
          <cell r="D5">
            <v>0.2</v>
          </cell>
          <cell r="E5">
            <v>1.1903999999999999</v>
          </cell>
          <cell r="F5">
            <v>0.22044444444444442</v>
          </cell>
        </row>
        <row r="6">
          <cell r="D6">
            <v>0.3</v>
          </cell>
          <cell r="E6">
            <v>1.1903999999999999</v>
          </cell>
          <cell r="F6">
            <v>0.22044444444444442</v>
          </cell>
        </row>
        <row r="7">
          <cell r="D7">
            <v>0.4</v>
          </cell>
          <cell r="E7">
            <v>1.1903999999999999</v>
          </cell>
          <cell r="F7">
            <v>0.22044444444444442</v>
          </cell>
        </row>
        <row r="8">
          <cell r="D8">
            <v>0.5</v>
          </cell>
          <cell r="E8">
            <v>1.1903999999999999</v>
          </cell>
          <cell r="F8">
            <v>0.22044444444444442</v>
          </cell>
        </row>
        <row r="9">
          <cell r="D9">
            <v>0.6</v>
          </cell>
          <cell r="E9">
            <v>1.1903999999999999</v>
          </cell>
          <cell r="F9">
            <v>0.22044444444444442</v>
          </cell>
        </row>
        <row r="10">
          <cell r="D10">
            <v>0.7</v>
          </cell>
          <cell r="E10">
            <v>1.1872256000000001</v>
          </cell>
          <cell r="F10">
            <v>0.2198565925925926</v>
          </cell>
        </row>
        <row r="11">
          <cell r="D11">
            <v>0.8</v>
          </cell>
          <cell r="E11">
            <v>1.0388223999999999</v>
          </cell>
          <cell r="F11">
            <v>0.1923745185185185</v>
          </cell>
        </row>
        <row r="12">
          <cell r="D12">
            <v>0.9</v>
          </cell>
          <cell r="E12">
            <v>0.92339768888888896</v>
          </cell>
          <cell r="F12">
            <v>0.1709995720164609</v>
          </cell>
        </row>
        <row r="13">
          <cell r="D13">
            <v>1</v>
          </cell>
          <cell r="E13">
            <v>0.83105792000000001</v>
          </cell>
          <cell r="F13">
            <v>0.15389961481481482</v>
          </cell>
        </row>
        <row r="14">
          <cell r="D14">
            <v>1.1000000000000001</v>
          </cell>
          <cell r="E14">
            <v>0.75550720000000005</v>
          </cell>
          <cell r="F14">
            <v>0.13990874074074075</v>
          </cell>
        </row>
        <row r="15">
          <cell r="D15">
            <v>1.2</v>
          </cell>
          <cell r="E15">
            <v>0.69254826666666669</v>
          </cell>
          <cell r="F15">
            <v>0.12824967901234569</v>
          </cell>
        </row>
        <row r="16">
          <cell r="D16">
            <v>1.3</v>
          </cell>
          <cell r="E16">
            <v>0.63927532307692314</v>
          </cell>
          <cell r="F16">
            <v>0.11838431908831909</v>
          </cell>
        </row>
        <row r="17">
          <cell r="D17">
            <v>1.4</v>
          </cell>
          <cell r="E17">
            <v>0.59361280000000005</v>
          </cell>
          <cell r="F17">
            <v>0.1099282962962963</v>
          </cell>
        </row>
        <row r="18">
          <cell r="D18">
            <v>1.5</v>
          </cell>
          <cell r="E18">
            <v>0.55403861333333326</v>
          </cell>
          <cell r="F18">
            <v>0.10259974320987653</v>
          </cell>
        </row>
        <row r="19">
          <cell r="D19">
            <v>1.6</v>
          </cell>
          <cell r="E19">
            <v>0.51941119999999996</v>
          </cell>
          <cell r="F19">
            <v>9.618725925925925E-2</v>
          </cell>
        </row>
        <row r="20">
          <cell r="D20">
            <v>1.7</v>
          </cell>
          <cell r="E20">
            <v>0.4888576</v>
          </cell>
          <cell r="F20">
            <v>9.0529185185185171E-2</v>
          </cell>
        </row>
        <row r="21">
          <cell r="D21">
            <v>1.8</v>
          </cell>
          <cell r="E21">
            <v>0.46169884444444448</v>
          </cell>
          <cell r="F21">
            <v>8.5499786008230452E-2</v>
          </cell>
        </row>
        <row r="22">
          <cell r="D22">
            <v>1.9</v>
          </cell>
          <cell r="E22">
            <v>0.43739890526315794</v>
          </cell>
          <cell r="F22">
            <v>8.0999797270955173E-2</v>
          </cell>
        </row>
        <row r="23">
          <cell r="D23">
            <v>2</v>
          </cell>
          <cell r="E23">
            <v>0.41552896</v>
          </cell>
          <cell r="F23">
            <v>7.6949807407407408E-2</v>
          </cell>
        </row>
        <row r="24">
          <cell r="D24">
            <v>2.1</v>
          </cell>
          <cell r="E24">
            <v>0.39574186666666661</v>
          </cell>
          <cell r="F24">
            <v>7.3285530864197521E-2</v>
          </cell>
        </row>
        <row r="25">
          <cell r="D25">
            <v>2.2000000000000002</v>
          </cell>
          <cell r="E25">
            <v>0.37775360000000002</v>
          </cell>
          <cell r="F25">
            <v>6.9954370370370375E-2</v>
          </cell>
        </row>
        <row r="26">
          <cell r="D26">
            <v>2.2999999999999998</v>
          </cell>
          <cell r="E26">
            <v>0.36132953043478266</v>
          </cell>
          <cell r="F26">
            <v>6.6912876006441233E-2</v>
          </cell>
        </row>
        <row r="27">
          <cell r="D27">
            <v>2.4</v>
          </cell>
          <cell r="E27">
            <v>0.34627413333333334</v>
          </cell>
          <cell r="F27">
            <v>6.4124839506172843E-2</v>
          </cell>
        </row>
        <row r="28">
          <cell r="D28">
            <v>2.5</v>
          </cell>
          <cell r="E28">
            <v>0.33242316799999999</v>
          </cell>
          <cell r="F28">
            <v>6.1559845925925921E-2</v>
          </cell>
        </row>
        <row r="29">
          <cell r="D29">
            <v>2.6</v>
          </cell>
          <cell r="E29">
            <v>0.31963766153846157</v>
          </cell>
          <cell r="F29">
            <v>5.9192159544159545E-2</v>
          </cell>
        </row>
        <row r="30">
          <cell r="D30">
            <v>2.7</v>
          </cell>
          <cell r="E30">
            <v>0.30779922962962963</v>
          </cell>
          <cell r="F30">
            <v>5.6999857338820299E-2</v>
          </cell>
        </row>
        <row r="31">
          <cell r="D31">
            <v>2.8</v>
          </cell>
          <cell r="E31">
            <v>0.29680640000000003</v>
          </cell>
          <cell r="F31">
            <v>5.4964148148148151E-2</v>
          </cell>
        </row>
        <row r="32">
          <cell r="D32">
            <v>2.9</v>
          </cell>
          <cell r="E32">
            <v>0.28657169655172415</v>
          </cell>
          <cell r="F32">
            <v>5.3068832694763729E-2</v>
          </cell>
        </row>
        <row r="33">
          <cell r="D33">
            <v>3</v>
          </cell>
          <cell r="E33">
            <v>0.27701930666666663</v>
          </cell>
          <cell r="F33">
            <v>5.1299871604938263E-2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F4FD-CE30-4237-B5E5-4E08F894E2B3}">
  <dimension ref="A1:U28"/>
  <sheetViews>
    <sheetView zoomScale="120" zoomScaleNormal="120" workbookViewId="0">
      <selection activeCell="M2" sqref="M2:U2"/>
    </sheetView>
  </sheetViews>
  <sheetFormatPr baseColWidth="10" defaultRowHeight="14.4" x14ac:dyDescent="0.3"/>
  <cols>
    <col min="1" max="1" width="8.77734375" style="1" customWidth="1"/>
    <col min="2" max="2" width="8.109375" style="1" customWidth="1"/>
    <col min="3" max="3" width="6.77734375" style="1" customWidth="1"/>
    <col min="4" max="4" width="2.5546875" style="1" customWidth="1"/>
    <col min="5" max="6" width="8.77734375" style="1" customWidth="1"/>
    <col min="7" max="7" width="6.44140625" style="1" customWidth="1"/>
    <col min="8" max="8" width="3" style="1" customWidth="1"/>
    <col min="9" max="9" width="8.77734375" style="1" customWidth="1"/>
    <col min="10" max="11" width="7.88671875" style="1" customWidth="1"/>
    <col min="12" max="14" width="8.109375" style="1" customWidth="1"/>
    <col min="15" max="17" width="8.44140625" style="1" customWidth="1"/>
    <col min="18" max="18" width="8.6640625" style="1" customWidth="1"/>
    <col min="19" max="21" width="7.6640625" style="1" customWidth="1"/>
    <col min="22" max="16384" width="11.5546875" style="1"/>
  </cols>
  <sheetData>
    <row r="1" spans="1:21" x14ac:dyDescent="0.3">
      <c r="A1" s="55" t="s">
        <v>0</v>
      </c>
      <c r="B1" s="55"/>
      <c r="C1" s="55"/>
      <c r="E1" s="55" t="s">
        <v>9</v>
      </c>
      <c r="F1" s="55"/>
      <c r="G1" s="55"/>
    </row>
    <row r="2" spans="1:21" x14ac:dyDescent="0.3">
      <c r="A2" s="2" t="s">
        <v>1</v>
      </c>
      <c r="B2" s="3">
        <v>3.96</v>
      </c>
      <c r="C2" s="2" t="s">
        <v>5</v>
      </c>
      <c r="E2" s="2" t="s">
        <v>10</v>
      </c>
      <c r="F2" s="2">
        <f>+MAX(B2:B5)</f>
        <v>6.75</v>
      </c>
      <c r="G2" s="2" t="s">
        <v>5</v>
      </c>
      <c r="M2" s="54" t="s">
        <v>264</v>
      </c>
      <c r="N2" s="54"/>
      <c r="O2" s="54"/>
      <c r="P2" s="54" t="s">
        <v>264</v>
      </c>
      <c r="Q2" s="54"/>
      <c r="R2" s="54"/>
      <c r="S2" s="54" t="s">
        <v>264</v>
      </c>
      <c r="T2" s="54"/>
      <c r="U2" s="54"/>
    </row>
    <row r="3" spans="1:21" x14ac:dyDescent="0.3">
      <c r="A3" s="2" t="s">
        <v>2</v>
      </c>
      <c r="B3" s="3">
        <v>6.75</v>
      </c>
      <c r="C3" s="2" t="s">
        <v>5</v>
      </c>
      <c r="E3" s="2" t="s">
        <v>29</v>
      </c>
      <c r="F3" s="6">
        <v>1</v>
      </c>
      <c r="G3" s="2" t="s">
        <v>7</v>
      </c>
      <c r="J3" s="11"/>
      <c r="K3" s="11"/>
      <c r="M3" s="2" t="s">
        <v>197</v>
      </c>
      <c r="N3" s="2">
        <f>+B2</f>
        <v>3.96</v>
      </c>
      <c r="O3" s="2" t="s">
        <v>5</v>
      </c>
      <c r="P3" s="2" t="s">
        <v>197</v>
      </c>
      <c r="Q3" s="2">
        <f>+B3</f>
        <v>6.75</v>
      </c>
      <c r="R3" s="2" t="s">
        <v>5</v>
      </c>
      <c r="S3" s="2" t="s">
        <v>197</v>
      </c>
      <c r="T3" s="2">
        <f>+B4</f>
        <v>4.5599999999999996</v>
      </c>
      <c r="U3" s="2" t="s">
        <v>5</v>
      </c>
    </row>
    <row r="4" spans="1:21" x14ac:dyDescent="0.3">
      <c r="A4" s="2" t="s">
        <v>3</v>
      </c>
      <c r="B4" s="3">
        <v>4.5599999999999996</v>
      </c>
      <c r="C4" s="2" t="s">
        <v>5</v>
      </c>
      <c r="E4" s="2" t="s">
        <v>30</v>
      </c>
      <c r="F4" s="2">
        <f>+F2/(F3+1)</f>
        <v>3.375</v>
      </c>
      <c r="G4" s="2" t="s">
        <v>5</v>
      </c>
      <c r="J4" s="11"/>
      <c r="K4" s="11"/>
      <c r="M4" s="2" t="s">
        <v>150</v>
      </c>
      <c r="N4" s="2">
        <v>0.5</v>
      </c>
      <c r="O4" s="2" t="s">
        <v>5</v>
      </c>
      <c r="P4" s="2" t="s">
        <v>150</v>
      </c>
      <c r="Q4" s="2">
        <f>+N4</f>
        <v>0.5</v>
      </c>
      <c r="R4" s="2" t="s">
        <v>5</v>
      </c>
      <c r="S4" s="2" t="s">
        <v>150</v>
      </c>
      <c r="T4" s="2">
        <f>+Q4</f>
        <v>0.5</v>
      </c>
      <c r="U4" s="2" t="s">
        <v>5</v>
      </c>
    </row>
    <row r="5" spans="1:21" x14ac:dyDescent="0.3">
      <c r="A5" s="2" t="s">
        <v>4</v>
      </c>
      <c r="B5" s="3">
        <v>4.2</v>
      </c>
      <c r="C5" s="2" t="s">
        <v>5</v>
      </c>
      <c r="E5" s="2" t="s">
        <v>11</v>
      </c>
      <c r="F5" s="4">
        <f>+F4*100*0.03</f>
        <v>10.125</v>
      </c>
      <c r="G5" s="2" t="s">
        <v>12</v>
      </c>
      <c r="J5" s="11"/>
      <c r="K5" s="11"/>
      <c r="L5" s="11"/>
      <c r="M5" s="2" t="s">
        <v>54</v>
      </c>
      <c r="N5" s="2">
        <f>+'VIGAS horm'!B13</f>
        <v>1.1633599999999999</v>
      </c>
      <c r="O5" s="2" t="s">
        <v>33</v>
      </c>
      <c r="P5" s="2" t="s">
        <v>54</v>
      </c>
      <c r="Q5" s="2">
        <f>+N5</f>
        <v>1.1633599999999999</v>
      </c>
      <c r="R5" s="2" t="s">
        <v>33</v>
      </c>
      <c r="S5" s="2" t="s">
        <v>54</v>
      </c>
      <c r="T5" s="2">
        <f>+Q5</f>
        <v>1.1633599999999999</v>
      </c>
      <c r="U5" s="2" t="s">
        <v>33</v>
      </c>
    </row>
    <row r="6" spans="1:21" x14ac:dyDescent="0.3">
      <c r="A6" s="2" t="s">
        <v>6</v>
      </c>
      <c r="B6" s="6">
        <v>2</v>
      </c>
      <c r="C6" s="2" t="s">
        <v>7</v>
      </c>
      <c r="E6" s="7" t="s">
        <v>18</v>
      </c>
      <c r="F6" s="8">
        <f>+F15*F5^3 /12</f>
        <v>8649.755859375</v>
      </c>
      <c r="G6" s="7" t="s">
        <v>19</v>
      </c>
      <c r="L6" s="11"/>
      <c r="M6" s="2" t="s">
        <v>199</v>
      </c>
      <c r="N6" s="2">
        <f>+N5*N4</f>
        <v>0.58167999999999997</v>
      </c>
      <c r="O6" s="2" t="s">
        <v>151</v>
      </c>
      <c r="P6" s="2" t="s">
        <v>199</v>
      </c>
      <c r="Q6" s="2">
        <f>+Q5*Q4</f>
        <v>0.58167999999999997</v>
      </c>
      <c r="R6" s="2" t="s">
        <v>151</v>
      </c>
      <c r="S6" s="2" t="s">
        <v>199</v>
      </c>
      <c r="T6" s="2">
        <f>+T5*T4</f>
        <v>0.58167999999999997</v>
      </c>
      <c r="U6" s="2" t="s">
        <v>151</v>
      </c>
    </row>
    <row r="7" spans="1:21" x14ac:dyDescent="0.3">
      <c r="A7" s="2" t="s">
        <v>8</v>
      </c>
      <c r="B7" s="3">
        <v>3.4</v>
      </c>
      <c r="C7" s="2" t="s">
        <v>5</v>
      </c>
      <c r="E7" s="7" t="s">
        <v>28</v>
      </c>
      <c r="F7" s="8">
        <f>+K28</f>
        <v>49097.222222222219</v>
      </c>
      <c r="G7" s="7" t="s">
        <v>19</v>
      </c>
      <c r="M7" s="2" t="s">
        <v>198</v>
      </c>
      <c r="N7" s="2">
        <f>+N6*N3^2 /12</f>
        <v>0.76013942400000001</v>
      </c>
      <c r="O7" s="2" t="s">
        <v>55</v>
      </c>
      <c r="P7" s="2" t="s">
        <v>198</v>
      </c>
      <c r="Q7" s="2">
        <f>+Q6*Q3^2 /12</f>
        <v>2.2085662500000001</v>
      </c>
      <c r="R7" s="2" t="s">
        <v>55</v>
      </c>
      <c r="S7" s="2" t="s">
        <v>198</v>
      </c>
      <c r="T7" s="2">
        <f>+T6*T3^2 /12</f>
        <v>1.0079351039999997</v>
      </c>
      <c r="U7" s="2" t="s">
        <v>55</v>
      </c>
    </row>
    <row r="8" spans="1:21" x14ac:dyDescent="0.3">
      <c r="A8" s="2"/>
      <c r="B8" s="2"/>
      <c r="C8" s="2"/>
      <c r="E8" s="59" t="str">
        <f>+IF(F7&lt;F6,"Suba h o Viga Intermedia","OK")</f>
        <v>OK</v>
      </c>
      <c r="F8" s="59"/>
      <c r="G8" s="59"/>
      <c r="M8" s="2" t="s">
        <v>59</v>
      </c>
      <c r="N8" s="2">
        <v>10</v>
      </c>
      <c r="O8" s="2" t="s">
        <v>12</v>
      </c>
      <c r="P8" s="2" t="s">
        <v>59</v>
      </c>
      <c r="Q8" s="2">
        <v>10</v>
      </c>
      <c r="R8" s="2" t="s">
        <v>12</v>
      </c>
      <c r="S8" s="2" t="s">
        <v>59</v>
      </c>
      <c r="T8" s="2">
        <v>10</v>
      </c>
      <c r="U8" s="2" t="s">
        <v>12</v>
      </c>
    </row>
    <row r="9" spans="1:21" x14ac:dyDescent="0.3">
      <c r="A9" s="2" t="s">
        <v>31</v>
      </c>
      <c r="B9" s="60" t="s">
        <v>46</v>
      </c>
      <c r="C9" s="61"/>
      <c r="M9" s="2" t="s">
        <v>152</v>
      </c>
      <c r="N9" s="2">
        <f>+F11</f>
        <v>25</v>
      </c>
      <c r="O9" s="2" t="s">
        <v>12</v>
      </c>
      <c r="P9" s="2" t="s">
        <v>152</v>
      </c>
      <c r="Q9" s="2">
        <f>+N9</f>
        <v>25</v>
      </c>
      <c r="R9" s="2" t="s">
        <v>12</v>
      </c>
      <c r="S9" s="2" t="s">
        <v>152</v>
      </c>
      <c r="T9" s="2">
        <f>+Q9</f>
        <v>25</v>
      </c>
      <c r="U9" s="2" t="s">
        <v>12</v>
      </c>
    </row>
    <row r="10" spans="1:21" x14ac:dyDescent="0.3">
      <c r="A10" s="2" t="s">
        <v>32</v>
      </c>
      <c r="B10" s="60" t="s">
        <v>46</v>
      </c>
      <c r="C10" s="61"/>
      <c r="E10" s="56" t="s">
        <v>13</v>
      </c>
      <c r="F10" s="57"/>
      <c r="G10" s="58"/>
      <c r="M10" s="2" t="s">
        <v>112</v>
      </c>
      <c r="N10" s="2">
        <f>30*N7/(N9-3)*0.75</f>
        <v>0.77741532000000002</v>
      </c>
      <c r="O10" s="2" t="s">
        <v>68</v>
      </c>
      <c r="P10" s="2" t="s">
        <v>112</v>
      </c>
      <c r="Q10" s="2">
        <f>30*Q7/(Q9-3)*0.75</f>
        <v>2.2587609375000004</v>
      </c>
      <c r="R10" s="2" t="s">
        <v>68</v>
      </c>
      <c r="S10" s="2" t="s">
        <v>112</v>
      </c>
      <c r="T10" s="2">
        <f>30*T7/(T9-3)*0.75</f>
        <v>1.0308427199999997</v>
      </c>
      <c r="U10" s="2" t="s">
        <v>68</v>
      </c>
    </row>
    <row r="11" spans="1:21" x14ac:dyDescent="0.3">
      <c r="A11" s="2"/>
      <c r="B11" s="2"/>
      <c r="C11" s="2"/>
      <c r="E11" s="2" t="s">
        <v>14</v>
      </c>
      <c r="F11" s="6">
        <v>25</v>
      </c>
      <c r="G11" s="2" t="s">
        <v>12</v>
      </c>
      <c r="I11" s="2" t="s">
        <v>35</v>
      </c>
      <c r="J11" s="2">
        <f>+F15*F15/10000*F11/100</f>
        <v>0.25</v>
      </c>
      <c r="K11" s="2" t="s">
        <v>36</v>
      </c>
      <c r="M11" s="2" t="s">
        <v>265</v>
      </c>
      <c r="N11" s="2">
        <f>+N10*0.65</f>
        <v>0.50531995800000007</v>
      </c>
      <c r="O11" s="2" t="s">
        <v>68</v>
      </c>
      <c r="P11" s="2" t="s">
        <v>265</v>
      </c>
      <c r="Q11" s="2">
        <f>+Q10*0.65</f>
        <v>1.4681946093750002</v>
      </c>
      <c r="R11" s="2" t="s">
        <v>68</v>
      </c>
      <c r="S11" s="2" t="s">
        <v>265</v>
      </c>
      <c r="T11" s="2">
        <f>+T10*0.65</f>
        <v>0.67004776799999977</v>
      </c>
      <c r="U11" s="2" t="s">
        <v>68</v>
      </c>
    </row>
    <row r="12" spans="1:21" x14ac:dyDescent="0.3">
      <c r="A12" s="7" t="s">
        <v>34</v>
      </c>
      <c r="B12" s="7">
        <f>+J16+0.08+B18+B19</f>
        <v>0.70279999999999998</v>
      </c>
      <c r="C12" s="7" t="s">
        <v>33</v>
      </c>
      <c r="E12" s="2" t="s">
        <v>15</v>
      </c>
      <c r="F12" s="6">
        <v>10</v>
      </c>
      <c r="G12" s="2" t="s">
        <v>12</v>
      </c>
      <c r="I12" s="2" t="s">
        <v>37</v>
      </c>
      <c r="J12" s="2">
        <f>+F13^2*(F11-F14)*4/1000000</f>
        <v>0.128</v>
      </c>
      <c r="K12" s="2" t="s">
        <v>36</v>
      </c>
    </row>
    <row r="13" spans="1:21" x14ac:dyDescent="0.3">
      <c r="A13" s="2"/>
      <c r="B13" s="2"/>
      <c r="C13" s="2"/>
      <c r="E13" s="2" t="s">
        <v>16</v>
      </c>
      <c r="F13" s="6">
        <v>40</v>
      </c>
      <c r="G13" s="2" t="s">
        <v>12</v>
      </c>
      <c r="I13" s="2" t="s">
        <v>38</v>
      </c>
      <c r="J13" s="2">
        <f>+J11-J12</f>
        <v>0.122</v>
      </c>
      <c r="K13" s="2" t="s">
        <v>36</v>
      </c>
    </row>
    <row r="14" spans="1:21" x14ac:dyDescent="0.3">
      <c r="E14" s="2" t="s">
        <v>21</v>
      </c>
      <c r="F14" s="6">
        <v>5</v>
      </c>
      <c r="G14" s="2" t="s">
        <v>12</v>
      </c>
      <c r="I14" s="2" t="s">
        <v>39</v>
      </c>
      <c r="J14" s="2">
        <f>+J13*2.4</f>
        <v>0.2928</v>
      </c>
      <c r="K14" s="2" t="s">
        <v>40</v>
      </c>
    </row>
    <row r="15" spans="1:21" x14ac:dyDescent="0.3">
      <c r="E15" s="2" t="s">
        <v>17</v>
      </c>
      <c r="F15" s="5">
        <f>2*F12+2*F13</f>
        <v>100</v>
      </c>
      <c r="G15" s="2" t="s">
        <v>12</v>
      </c>
      <c r="I15" s="2" t="s">
        <v>41</v>
      </c>
      <c r="J15" s="2">
        <f>+F15*F15/10000</f>
        <v>1</v>
      </c>
      <c r="K15" s="2" t="s">
        <v>42</v>
      </c>
    </row>
    <row r="16" spans="1:21" x14ac:dyDescent="0.3">
      <c r="A16" s="2"/>
      <c r="B16" s="2"/>
      <c r="C16" s="2"/>
      <c r="E16" s="2" t="s">
        <v>24</v>
      </c>
      <c r="F16" s="2">
        <f>+H28/F28</f>
        <v>16.944444444444443</v>
      </c>
      <c r="G16" s="2" t="s">
        <v>12</v>
      </c>
      <c r="I16" s="7" t="s">
        <v>43</v>
      </c>
      <c r="J16" s="7">
        <f>+J14/J15</f>
        <v>0.2928</v>
      </c>
      <c r="K16" s="7" t="s">
        <v>33</v>
      </c>
    </row>
    <row r="17" spans="1:11" x14ac:dyDescent="0.3">
      <c r="E17" s="9" t="s">
        <v>44</v>
      </c>
      <c r="F17" s="10">
        <f>+(12*F7/F15)^(0.333333333333333)</f>
        <v>18.061177298314714</v>
      </c>
      <c r="G17" s="9" t="s">
        <v>12</v>
      </c>
    </row>
    <row r="18" spans="1:11" x14ac:dyDescent="0.3">
      <c r="A18" s="2" t="s">
        <v>31</v>
      </c>
      <c r="B18" s="2">
        <f>+IF(B9="Pesado",0.18,0.06)</f>
        <v>0.18</v>
      </c>
      <c r="C18" s="2" t="s">
        <v>33</v>
      </c>
      <c r="E18" s="9" t="s">
        <v>45</v>
      </c>
      <c r="F18" s="10">
        <f>+F17/0.03 /100</f>
        <v>6.0203924327715717</v>
      </c>
      <c r="G18" s="9" t="s">
        <v>5</v>
      </c>
    </row>
    <row r="19" spans="1:11" x14ac:dyDescent="0.3">
      <c r="A19" s="2" t="s">
        <v>32</v>
      </c>
      <c r="B19" s="2">
        <f>+IF(B10="Pesado",0.75*(F11-F14)/100,0)</f>
        <v>0.15</v>
      </c>
      <c r="C19" s="2" t="s">
        <v>33</v>
      </c>
    </row>
    <row r="20" spans="1:11" x14ac:dyDescent="0.3">
      <c r="E20" s="2" t="s">
        <v>160</v>
      </c>
      <c r="F20" s="2">
        <f>2.4*F17/100</f>
        <v>0.43346825515955312</v>
      </c>
      <c r="G20" s="2" t="s">
        <v>33</v>
      </c>
    </row>
    <row r="21" spans="1:11" x14ac:dyDescent="0.3">
      <c r="E21" s="2" t="s">
        <v>161</v>
      </c>
      <c r="F21" s="2">
        <f>+B12-F20</f>
        <v>0.26933174484044686</v>
      </c>
      <c r="G21" s="2" t="s">
        <v>33</v>
      </c>
    </row>
    <row r="24" spans="1:11" x14ac:dyDescent="0.3">
      <c r="E24" s="7"/>
      <c r="F24" s="7" t="s">
        <v>20</v>
      </c>
      <c r="G24" s="7" t="s">
        <v>22</v>
      </c>
      <c r="H24" s="7" t="s">
        <v>23</v>
      </c>
      <c r="I24" s="7" t="s">
        <v>25</v>
      </c>
      <c r="J24" s="7" t="s">
        <v>26</v>
      </c>
      <c r="K24" s="7" t="s">
        <v>27</v>
      </c>
    </row>
    <row r="25" spans="1:11" x14ac:dyDescent="0.3">
      <c r="E25" s="8">
        <v>1</v>
      </c>
      <c r="F25" s="5">
        <f>+F12*(F11-F14)</f>
        <v>200</v>
      </c>
      <c r="G25" s="2">
        <f>+(F11-F14)/2</f>
        <v>10</v>
      </c>
      <c r="H25" s="5">
        <f>+F25*G25</f>
        <v>2000</v>
      </c>
      <c r="I25" s="5">
        <f>+F12*(F11-F14)^3 /12</f>
        <v>6666.666666666667</v>
      </c>
      <c r="J25" s="2">
        <f>+(G25-$F$16)^2</f>
        <v>48.225308641975289</v>
      </c>
      <c r="K25" s="5">
        <f>+I25+F25*J25</f>
        <v>16311.728395061724</v>
      </c>
    </row>
    <row r="26" spans="1:11" x14ac:dyDescent="0.3">
      <c r="E26" s="8">
        <v>2</v>
      </c>
      <c r="F26" s="5">
        <f>+F25</f>
        <v>200</v>
      </c>
      <c r="G26" s="2">
        <f>+G25</f>
        <v>10</v>
      </c>
      <c r="H26" s="5">
        <f t="shared" ref="H26:H27" si="0">+F26*G26</f>
        <v>2000</v>
      </c>
      <c r="I26" s="5">
        <f>+I25</f>
        <v>6666.666666666667</v>
      </c>
      <c r="J26" s="2">
        <f t="shared" ref="J26:J27" si="1">+(G26-$F$16)^2</f>
        <v>48.225308641975289</v>
      </c>
      <c r="K26" s="5">
        <f t="shared" ref="K26:K27" si="2">+I26+F26*J26</f>
        <v>16311.728395061724</v>
      </c>
    </row>
    <row r="27" spans="1:11" x14ac:dyDescent="0.3">
      <c r="E27" s="8">
        <v>3</v>
      </c>
      <c r="F27" s="5">
        <f>+F15*F14</f>
        <v>500</v>
      </c>
      <c r="G27" s="2">
        <f>+F11-F14/2</f>
        <v>22.5</v>
      </c>
      <c r="H27" s="5">
        <f t="shared" si="0"/>
        <v>11250</v>
      </c>
      <c r="I27" s="5">
        <f>+F15*F14^3 /12</f>
        <v>1041.6666666666667</v>
      </c>
      <c r="J27" s="2">
        <f t="shared" si="1"/>
        <v>30.864197530864214</v>
      </c>
      <c r="K27" s="5">
        <f t="shared" si="2"/>
        <v>16473.765432098775</v>
      </c>
    </row>
    <row r="28" spans="1:11" x14ac:dyDescent="0.3">
      <c r="F28" s="8">
        <f>SUM(F25:F27)</f>
        <v>900</v>
      </c>
      <c r="G28" s="2"/>
      <c r="H28" s="8">
        <f>SUM(H25:H27)</f>
        <v>15250</v>
      </c>
      <c r="K28" s="8">
        <f>SUM(K25:K27)</f>
        <v>49097.222222222219</v>
      </c>
    </row>
  </sheetData>
  <mergeCells count="9">
    <mergeCell ref="E10:G10"/>
    <mergeCell ref="E8:G8"/>
    <mergeCell ref="B9:C9"/>
    <mergeCell ref="B10:C10"/>
    <mergeCell ref="M2:O2"/>
    <mergeCell ref="P2:R2"/>
    <mergeCell ref="S2:U2"/>
    <mergeCell ref="A1:C1"/>
    <mergeCell ref="E1:G1"/>
  </mergeCells>
  <dataValidations disablePrompts="1" count="1">
    <dataValidation type="list" allowBlank="1" showInputMessage="1" showErrorMessage="1" sqref="B9:C10" xr:uid="{7EF5A1BC-10B4-4C57-A5D3-D9672E605DD3}">
      <formula1>"Pesado,Liviano"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4F7A7-E396-4C41-89D9-D16E82E94233}">
  <dimension ref="A1:N32"/>
  <sheetViews>
    <sheetView zoomScale="120" zoomScaleNormal="120" workbookViewId="0">
      <selection activeCell="F19" sqref="F19"/>
    </sheetView>
  </sheetViews>
  <sheetFormatPr baseColWidth="10" defaultRowHeight="14.4" x14ac:dyDescent="0.3"/>
  <cols>
    <col min="1" max="2" width="8.77734375" style="1" customWidth="1"/>
    <col min="3" max="3" width="8.33203125" style="1" customWidth="1"/>
    <col min="4" max="4" width="1.33203125" style="1" customWidth="1"/>
    <col min="5" max="5" width="9.109375" style="1" customWidth="1"/>
    <col min="6" max="6" width="8.6640625" style="1" customWidth="1"/>
    <col min="7" max="7" width="7.33203125" style="1" customWidth="1"/>
    <col min="8" max="8" width="1.33203125" style="1" customWidth="1"/>
    <col min="9" max="11" width="8.5546875" style="1" customWidth="1"/>
    <col min="12" max="12" width="1.88671875" style="1" customWidth="1"/>
    <col min="13" max="13" width="10.21875" style="1" customWidth="1"/>
    <col min="14" max="16" width="7.77734375" style="1" customWidth="1"/>
    <col min="17" max="16384" width="11.5546875" style="1"/>
  </cols>
  <sheetData>
    <row r="1" spans="1:14" x14ac:dyDescent="0.3">
      <c r="A1" s="55" t="s">
        <v>0</v>
      </c>
      <c r="B1" s="55"/>
      <c r="C1" s="55"/>
      <c r="E1" s="55" t="s">
        <v>47</v>
      </c>
      <c r="F1" s="55"/>
      <c r="G1" s="55"/>
      <c r="H1" s="55"/>
      <c r="I1" s="55"/>
      <c r="J1" s="55"/>
      <c r="K1" s="55"/>
    </row>
    <row r="2" spans="1:14" x14ac:dyDescent="0.3">
      <c r="A2" s="2" t="s">
        <v>1</v>
      </c>
      <c r="B2" s="2">
        <f>+'losa horm'!B2</f>
        <v>3.96</v>
      </c>
      <c r="C2" s="2" t="s">
        <v>5</v>
      </c>
      <c r="E2" s="17" t="s">
        <v>48</v>
      </c>
      <c r="F2" s="17">
        <f>+MAX(B2:B3)</f>
        <v>6.75</v>
      </c>
      <c r="G2" s="17" t="s">
        <v>5</v>
      </c>
      <c r="I2" s="64" t="s">
        <v>83</v>
      </c>
      <c r="J2" s="64"/>
      <c r="K2" s="64"/>
    </row>
    <row r="3" spans="1:14" x14ac:dyDescent="0.3">
      <c r="A3" s="2" t="s">
        <v>2</v>
      </c>
      <c r="B3" s="2">
        <f>+'losa horm'!B3</f>
        <v>6.75</v>
      </c>
      <c r="C3" s="2" t="s">
        <v>5</v>
      </c>
      <c r="E3" s="12" t="s">
        <v>49</v>
      </c>
      <c r="F3" s="12">
        <f>+AVERAGE(B4:B5)</f>
        <v>4.38</v>
      </c>
      <c r="G3" s="12" t="s">
        <v>5</v>
      </c>
      <c r="I3" s="2" t="s">
        <v>86</v>
      </c>
      <c r="J3" s="2">
        <f>+(2*F2-F3)*F3*B13/4</f>
        <v>11.617778304000002</v>
      </c>
      <c r="K3" s="2" t="s">
        <v>40</v>
      </c>
    </row>
    <row r="4" spans="1:14" x14ac:dyDescent="0.3">
      <c r="A4" s="2" t="s">
        <v>3</v>
      </c>
      <c r="B4" s="2">
        <f>+'losa horm'!B4</f>
        <v>4.5599999999999996</v>
      </c>
      <c r="C4" s="2" t="s">
        <v>5</v>
      </c>
      <c r="E4" s="9" t="s">
        <v>50</v>
      </c>
      <c r="F4" s="9">
        <f>+B13*F3*(F2-0.3)^2 /8 *0.65*0.85*1.1</f>
        <v>16.10432949314475</v>
      </c>
      <c r="G4" s="9" t="s">
        <v>55</v>
      </c>
      <c r="I4" s="5" t="s">
        <v>87</v>
      </c>
      <c r="J4" s="2">
        <f>+(J18+J19)/(F2-J17-F11/25)</f>
        <v>6.4833242352941172</v>
      </c>
      <c r="K4" s="2" t="s">
        <v>40</v>
      </c>
      <c r="M4" s="11"/>
    </row>
    <row r="5" spans="1:14" x14ac:dyDescent="0.3">
      <c r="A5" s="2" t="s">
        <v>4</v>
      </c>
      <c r="B5" s="2">
        <f>+'losa horm'!B5</f>
        <v>4.2</v>
      </c>
      <c r="C5" s="2" t="s">
        <v>5</v>
      </c>
      <c r="E5" s="9" t="s">
        <v>56</v>
      </c>
      <c r="F5" s="9">
        <f>0.9*(F21*B17*(F13-F31/2))/100000</f>
        <v>14.772170611651761</v>
      </c>
      <c r="G5" s="9" t="s">
        <v>55</v>
      </c>
      <c r="I5" s="8" t="s">
        <v>88</v>
      </c>
      <c r="J5" s="7">
        <f>SUM(J3:J4)</f>
        <v>18.101102539294118</v>
      </c>
      <c r="K5" s="7" t="s">
        <v>40</v>
      </c>
    </row>
    <row r="6" spans="1:14" x14ac:dyDescent="0.3">
      <c r="A6" s="2" t="s">
        <v>6</v>
      </c>
      <c r="B6" s="5">
        <f>+'losa horm'!B6</f>
        <v>2</v>
      </c>
      <c r="C6" s="2" t="s">
        <v>7</v>
      </c>
      <c r="E6" s="9" t="s">
        <v>57</v>
      </c>
      <c r="F6" s="67">
        <f>+F4/F5</f>
        <v>1.0901803070458873</v>
      </c>
      <c r="G6" s="68"/>
      <c r="I6" s="2" t="s">
        <v>89</v>
      </c>
      <c r="J6" s="2">
        <f>0.53*B16^0.5*F8*F13/1000</f>
        <v>6.6128499505886262</v>
      </c>
      <c r="K6" s="2" t="s">
        <v>40</v>
      </c>
      <c r="N6" s="11"/>
    </row>
    <row r="7" spans="1:14" x14ac:dyDescent="0.3">
      <c r="A7" s="2" t="s">
        <v>8</v>
      </c>
      <c r="B7" s="2">
        <f>+'losa horm'!B7</f>
        <v>3.4</v>
      </c>
      <c r="C7" s="2" t="s">
        <v>5</v>
      </c>
      <c r="E7" s="55" t="s">
        <v>58</v>
      </c>
      <c r="F7" s="55"/>
      <c r="G7" s="55"/>
      <c r="I7" s="7" t="s">
        <v>90</v>
      </c>
      <c r="J7" s="7">
        <f>+(J5-0.75*J6)/0.75</f>
        <v>17.521953435136865</v>
      </c>
      <c r="K7" s="7" t="s">
        <v>40</v>
      </c>
    </row>
    <row r="8" spans="1:14" x14ac:dyDescent="0.3">
      <c r="A8" s="2" t="s">
        <v>51</v>
      </c>
      <c r="B8" s="65" t="s">
        <v>52</v>
      </c>
      <c r="C8" s="66"/>
      <c r="E8" s="2" t="s">
        <v>59</v>
      </c>
      <c r="F8" s="6">
        <v>30</v>
      </c>
      <c r="G8" s="2" t="s">
        <v>12</v>
      </c>
      <c r="I8" s="2" t="s">
        <v>69</v>
      </c>
      <c r="J8" s="6">
        <v>10</v>
      </c>
      <c r="K8" s="2" t="s">
        <v>70</v>
      </c>
    </row>
    <row r="9" spans="1:14" x14ac:dyDescent="0.3">
      <c r="A9" s="2"/>
      <c r="B9" s="2"/>
      <c r="C9" s="2"/>
      <c r="E9" s="2" t="s">
        <v>60</v>
      </c>
      <c r="F9" s="3">
        <v>2.5</v>
      </c>
      <c r="G9" s="2" t="s">
        <v>12</v>
      </c>
      <c r="I9" s="2" t="s">
        <v>71</v>
      </c>
      <c r="J9" s="2">
        <f>0.00785*J8^2</f>
        <v>0.78499999999999992</v>
      </c>
      <c r="K9" s="2" t="s">
        <v>68</v>
      </c>
    </row>
    <row r="10" spans="1:14" x14ac:dyDescent="0.3">
      <c r="E10" s="2" t="s">
        <v>11</v>
      </c>
      <c r="F10" s="5">
        <f>+ROUNDUP((F4*100000/0.145/B16/F8)^0.5+F9,0)</f>
        <v>45</v>
      </c>
      <c r="G10" s="2" t="s">
        <v>12</v>
      </c>
      <c r="I10" s="5" t="s">
        <v>91</v>
      </c>
      <c r="J10" s="5">
        <f>+F13*J9*2*B17/J7/1000</f>
        <v>10.800610828042744</v>
      </c>
      <c r="K10" s="2" t="s">
        <v>12</v>
      </c>
    </row>
    <row r="11" spans="1:14" x14ac:dyDescent="0.3">
      <c r="A11" s="7" t="str">
        <f>+'losa horm'!A12</f>
        <v>Cm</v>
      </c>
      <c r="B11" s="7">
        <f>+'losa horm'!B12</f>
        <v>0.70279999999999998</v>
      </c>
      <c r="C11" s="7" t="str">
        <f>+'losa horm'!C12</f>
        <v>t/m2</v>
      </c>
      <c r="E11" s="2" t="s">
        <v>64</v>
      </c>
      <c r="F11" s="6">
        <v>33</v>
      </c>
      <c r="G11" s="2" t="s">
        <v>12</v>
      </c>
      <c r="I11" s="26" t="s">
        <v>92</v>
      </c>
      <c r="J11" s="26">
        <f>ROUNDUP(MIN(F13/4,6*F16/10,10,J10),0)</f>
        <v>8</v>
      </c>
      <c r="K11" s="23" t="s">
        <v>12</v>
      </c>
    </row>
    <row r="12" spans="1:14" x14ac:dyDescent="0.3">
      <c r="A12" s="7" t="s">
        <v>53</v>
      </c>
      <c r="B12" s="7">
        <f>+IF(B8="Vivienda",0.2,IF(B8="Oficina",0.25,IF(B8="Pesada",0.48,0.35)))</f>
        <v>0.2</v>
      </c>
      <c r="C12" s="7" t="s">
        <v>33</v>
      </c>
      <c r="E12" s="2" t="s">
        <v>65</v>
      </c>
      <c r="F12" s="2">
        <f>+F11/F8</f>
        <v>1.1000000000000001</v>
      </c>
      <c r="G12" s="15" t="str">
        <f>+IF(F12&lt;1.1,"NO",IF(F12&gt;1.6,"NO","OK"))</f>
        <v>OK</v>
      </c>
      <c r="I12" s="2" t="s">
        <v>93</v>
      </c>
      <c r="J12" s="5">
        <f>2*F11</f>
        <v>66</v>
      </c>
      <c r="K12" s="2" t="s">
        <v>12</v>
      </c>
    </row>
    <row r="13" spans="1:14" x14ac:dyDescent="0.3">
      <c r="A13" s="9" t="s">
        <v>54</v>
      </c>
      <c r="B13" s="9">
        <f>+B11*1.2+B12*1.6</f>
        <v>1.1633599999999999</v>
      </c>
      <c r="C13" s="9" t="s">
        <v>33</v>
      </c>
      <c r="E13" s="2" t="s">
        <v>66</v>
      </c>
      <c r="F13" s="2">
        <f>+F11-F9-J8/10-F16/20</f>
        <v>28.7</v>
      </c>
      <c r="G13" s="2" t="s">
        <v>12</v>
      </c>
      <c r="I13" s="5" t="s">
        <v>94</v>
      </c>
      <c r="J13" s="5">
        <f>+(F2-J17-J12/50)*100</f>
        <v>513</v>
      </c>
      <c r="K13" s="2" t="s">
        <v>12</v>
      </c>
    </row>
    <row r="14" spans="1:14" x14ac:dyDescent="0.3">
      <c r="E14" s="2" t="s">
        <v>126</v>
      </c>
      <c r="F14" s="2">
        <f>+F11-F13</f>
        <v>4.3000000000000007</v>
      </c>
      <c r="G14" s="2" t="s">
        <v>12</v>
      </c>
      <c r="I14" s="23" t="s">
        <v>92</v>
      </c>
      <c r="J14" s="26">
        <f>+ROUNDUP(MIN(F13/2,8*F16/10,15),0)</f>
        <v>13</v>
      </c>
      <c r="K14" s="23" t="s">
        <v>12</v>
      </c>
    </row>
    <row r="15" spans="1:14" x14ac:dyDescent="0.3">
      <c r="A15" s="63" t="s">
        <v>79</v>
      </c>
      <c r="B15" s="63"/>
      <c r="C15" s="13" t="s">
        <v>80</v>
      </c>
      <c r="E15" s="2" t="s">
        <v>67</v>
      </c>
      <c r="F15" s="2">
        <f>14*F8*F13/B17</f>
        <v>2.87</v>
      </c>
      <c r="G15" s="2" t="s">
        <v>68</v>
      </c>
      <c r="I15" s="2"/>
      <c r="J15" s="2"/>
      <c r="K15" s="2"/>
    </row>
    <row r="16" spans="1:14" x14ac:dyDescent="0.3">
      <c r="A16" s="2" t="s">
        <v>61</v>
      </c>
      <c r="B16" s="14">
        <v>210</v>
      </c>
      <c r="C16" s="2" t="s">
        <v>62</v>
      </c>
      <c r="E16" s="2" t="s">
        <v>69</v>
      </c>
      <c r="F16" s="6">
        <v>16</v>
      </c>
      <c r="G16" s="2" t="s">
        <v>70</v>
      </c>
      <c r="I16" s="2"/>
      <c r="J16" s="2"/>
      <c r="K16" s="2"/>
    </row>
    <row r="17" spans="1:11" x14ac:dyDescent="0.3">
      <c r="A17" s="2" t="s">
        <v>63</v>
      </c>
      <c r="B17" s="14">
        <v>4200</v>
      </c>
      <c r="C17" s="2" t="s">
        <v>62</v>
      </c>
      <c r="E17" s="2" t="s">
        <v>71</v>
      </c>
      <c r="F17" s="2">
        <f>0.00785*F16^2</f>
        <v>2.0095999999999998</v>
      </c>
      <c r="G17" s="2" t="s">
        <v>68</v>
      </c>
      <c r="I17" s="2" t="s">
        <v>149</v>
      </c>
      <c r="J17" s="2">
        <f>+'COL horm'!F9/100</f>
        <v>0.3</v>
      </c>
      <c r="K17" s="2" t="s">
        <v>5</v>
      </c>
    </row>
    <row r="18" spans="1:11" x14ac:dyDescent="0.3">
      <c r="E18" s="2" t="s">
        <v>72</v>
      </c>
      <c r="F18" s="5">
        <f>MAX(INT(F15/F17),2)</f>
        <v>2</v>
      </c>
      <c r="G18" s="2" t="s">
        <v>7</v>
      </c>
      <c r="I18" s="2" t="s">
        <v>84</v>
      </c>
      <c r="J18" s="2">
        <f>1.25*F21*B17*(F13-1.25*F21*B17/1.7/B16/F8)/100000</f>
        <v>18.833208734117648</v>
      </c>
      <c r="K18" s="2" t="s">
        <v>55</v>
      </c>
    </row>
    <row r="19" spans="1:11" x14ac:dyDescent="0.3">
      <c r="E19" s="7" t="s">
        <v>73</v>
      </c>
      <c r="F19" s="7">
        <f>30*F4/F13</f>
        <v>16.83379389527326</v>
      </c>
      <c r="G19" s="7" t="s">
        <v>68</v>
      </c>
      <c r="I19" s="2" t="s">
        <v>85</v>
      </c>
      <c r="J19" s="2">
        <f>1.25*F29*B17*(F13-1.25*F29*B17/1.7/B16/F8)/100000</f>
        <v>14.426244592941176</v>
      </c>
      <c r="K19" s="2" t="s">
        <v>55</v>
      </c>
    </row>
    <row r="20" spans="1:11" x14ac:dyDescent="0.3">
      <c r="A20" s="7" t="s">
        <v>78</v>
      </c>
      <c r="B20" s="62">
        <f>0.85*0.85*B16/B17*(6100/(6100+B17))</f>
        <v>2.1394417475728154E-2</v>
      </c>
      <c r="C20" s="62"/>
      <c r="E20" s="2" t="s">
        <v>72</v>
      </c>
      <c r="F20" s="5">
        <f>+INT((F19-F18*F17)/F17)+1</f>
        <v>7</v>
      </c>
      <c r="G20" s="2" t="s">
        <v>7</v>
      </c>
    </row>
    <row r="21" spans="1:11" x14ac:dyDescent="0.3">
      <c r="A21" s="7" t="s">
        <v>81</v>
      </c>
      <c r="B21" s="62">
        <f>+IF(C15="Alta",0.5*B20,0.75*B20)</f>
        <v>1.0697208737864077E-2</v>
      </c>
      <c r="C21" s="62"/>
      <c r="E21" s="9" t="s">
        <v>74</v>
      </c>
      <c r="F21" s="9">
        <f>+(F18+F20)*F17</f>
        <v>18.086399999999998</v>
      </c>
      <c r="G21" s="9" t="s">
        <v>68</v>
      </c>
    </row>
    <row r="22" spans="1:11" x14ac:dyDescent="0.3">
      <c r="E22" s="2" t="s">
        <v>82</v>
      </c>
      <c r="F22" s="16">
        <f>+F21/F8/F11</f>
        <v>1.8269090909090908E-2</v>
      </c>
      <c r="G22" s="15" t="str">
        <f>+IF(F22&lt;B21,"OK","NO")</f>
        <v>NO</v>
      </c>
    </row>
    <row r="23" spans="1:11" x14ac:dyDescent="0.3">
      <c r="E23" s="2"/>
      <c r="F23" s="2"/>
      <c r="G23" s="2"/>
    </row>
    <row r="24" spans="1:11" x14ac:dyDescent="0.3">
      <c r="E24" s="2" t="s">
        <v>75</v>
      </c>
      <c r="F24" s="2">
        <f>+(F8-2*F9-2-(F18+F20)*F16/10)/(F18+F20-1)</f>
        <v>1.075</v>
      </c>
      <c r="G24" s="15" t="str">
        <f>+IF(F24&gt;MAX(F16/10,2.54),"OK","NO")</f>
        <v>NO</v>
      </c>
    </row>
    <row r="25" spans="1:11" x14ac:dyDescent="0.3">
      <c r="E25" s="7" t="s">
        <v>76</v>
      </c>
      <c r="F25" s="7">
        <f>0.67*F21</f>
        <v>12.117887999999999</v>
      </c>
      <c r="G25" s="7" t="s">
        <v>68</v>
      </c>
    </row>
    <row r="26" spans="1:11" x14ac:dyDescent="0.3">
      <c r="E26" s="2" t="s">
        <v>69</v>
      </c>
      <c r="F26" s="6">
        <v>16</v>
      </c>
      <c r="G26" s="2" t="s">
        <v>70</v>
      </c>
    </row>
    <row r="27" spans="1:11" x14ac:dyDescent="0.3">
      <c r="E27" s="2" t="s">
        <v>71</v>
      </c>
      <c r="F27" s="2">
        <f>0.00785*F26^2</f>
        <v>2.0095999999999998</v>
      </c>
      <c r="G27" s="2" t="s">
        <v>68</v>
      </c>
    </row>
    <row r="28" spans="1:11" x14ac:dyDescent="0.3">
      <c r="E28" s="2" t="s">
        <v>72</v>
      </c>
      <c r="F28" s="5">
        <f>+INT(F25/F27)</f>
        <v>6</v>
      </c>
      <c r="G28" s="2" t="s">
        <v>7</v>
      </c>
    </row>
    <row r="29" spans="1:11" x14ac:dyDescent="0.3">
      <c r="E29" s="27" t="s">
        <v>74</v>
      </c>
      <c r="F29" s="27">
        <f>+F28*F27</f>
        <v>12.057599999999999</v>
      </c>
      <c r="G29" s="27" t="s">
        <v>68</v>
      </c>
    </row>
    <row r="30" spans="1:11" x14ac:dyDescent="0.3">
      <c r="E30" s="2" t="s">
        <v>82</v>
      </c>
      <c r="F30" s="16">
        <f>+F29/F8/F11</f>
        <v>1.2179393939393938E-2</v>
      </c>
      <c r="G30" s="15" t="str">
        <f>+IF(F30&gt;F22/2,"OK","NO")</f>
        <v>OK</v>
      </c>
    </row>
    <row r="31" spans="1:11" x14ac:dyDescent="0.3">
      <c r="E31" s="2" t="s">
        <v>77</v>
      </c>
      <c r="F31" s="2">
        <f>+F21*B17/0.85/B16/F8</f>
        <v>14.185411764705881</v>
      </c>
      <c r="G31" s="2" t="s">
        <v>12</v>
      </c>
    </row>
    <row r="32" spans="1:11" x14ac:dyDescent="0.3">
      <c r="E32" s="7" t="s">
        <v>95</v>
      </c>
      <c r="F32" s="18">
        <f>+(2*F5/B13)^0.33333</f>
        <v>2.9393324678247161</v>
      </c>
      <c r="G32" s="7" t="s">
        <v>5</v>
      </c>
    </row>
  </sheetData>
  <mergeCells count="9">
    <mergeCell ref="B20:C20"/>
    <mergeCell ref="A15:B15"/>
    <mergeCell ref="B21:C21"/>
    <mergeCell ref="I2:K2"/>
    <mergeCell ref="A1:C1"/>
    <mergeCell ref="B8:C8"/>
    <mergeCell ref="E7:G7"/>
    <mergeCell ref="F6:G6"/>
    <mergeCell ref="E1:K1"/>
  </mergeCells>
  <dataValidations count="4">
    <dataValidation type="list" allowBlank="1" showInputMessage="1" showErrorMessage="1" sqref="B8" xr:uid="{9B9FB88E-3DBC-455A-9E7F-396799231AAF}">
      <formula1>"Vivienda,Oficina,Pesada,Parqueaderos"</formula1>
    </dataValidation>
    <dataValidation type="list" allowBlank="1" showInputMessage="1" showErrorMessage="1" sqref="F16 F26" xr:uid="{658ADA41-D1DC-4C0C-9E94-EC2947B7031B}">
      <formula1>"10,12,14,16,18,20,22,25,28,32,35"</formula1>
    </dataValidation>
    <dataValidation type="list" allowBlank="1" showInputMessage="1" showErrorMessage="1" sqref="C15" xr:uid="{AB3F6E97-FFE5-4DD1-9621-821497502804}">
      <formula1>"Alta,Media"</formula1>
    </dataValidation>
    <dataValidation type="list" allowBlank="1" showInputMessage="1" showErrorMessage="1" sqref="J8" xr:uid="{6F048290-F854-4A47-B210-E8D15A95D6B6}">
      <formula1>"10,12"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F484-C1B6-4E8B-981C-52E93C93947E}">
  <dimension ref="A1:W41"/>
  <sheetViews>
    <sheetView zoomScale="110" zoomScaleNormal="110" workbookViewId="0">
      <selection activeCell="E12" sqref="E12:G12"/>
    </sheetView>
  </sheetViews>
  <sheetFormatPr baseColWidth="10" defaultRowHeight="14.4" x14ac:dyDescent="0.3"/>
  <cols>
    <col min="1" max="1" width="8.77734375" style="1" customWidth="1"/>
    <col min="2" max="2" width="8.6640625" style="1" customWidth="1"/>
    <col min="3" max="3" width="8.33203125" style="1" customWidth="1"/>
    <col min="4" max="4" width="2.21875" style="1" customWidth="1"/>
    <col min="5" max="5" width="7.6640625" style="1" customWidth="1"/>
    <col min="6" max="6" width="8.44140625" style="1" customWidth="1"/>
    <col min="7" max="7" width="7.88671875" style="1" customWidth="1"/>
    <col min="8" max="8" width="1.109375" style="1" customWidth="1"/>
    <col min="9" max="9" width="8.109375" style="1" customWidth="1"/>
    <col min="10" max="11" width="7.6640625" style="1" customWidth="1"/>
    <col min="12" max="12" width="1.44140625" style="1" customWidth="1"/>
    <col min="13" max="13" width="7.88671875" style="1" customWidth="1"/>
    <col min="14" max="14" width="9.88671875" style="1" customWidth="1"/>
    <col min="15" max="15" width="9.33203125" style="1" customWidth="1"/>
    <col min="16" max="22" width="7.88671875" style="1" customWidth="1"/>
    <col min="23" max="16384" width="11.5546875" style="1"/>
  </cols>
  <sheetData>
    <row r="1" spans="1:19" x14ac:dyDescent="0.3">
      <c r="A1" s="55" t="s">
        <v>0</v>
      </c>
      <c r="B1" s="55"/>
      <c r="C1" s="55"/>
      <c r="E1" s="55" t="s">
        <v>96</v>
      </c>
      <c r="F1" s="55"/>
      <c r="G1" s="55"/>
      <c r="H1" s="55"/>
      <c r="I1" s="55"/>
      <c r="J1" s="55"/>
      <c r="K1" s="55"/>
    </row>
    <row r="2" spans="1:19" x14ac:dyDescent="0.3">
      <c r="A2" s="2" t="s">
        <v>1</v>
      </c>
      <c r="B2" s="2">
        <f>+'losa horm'!B2</f>
        <v>3.96</v>
      </c>
      <c r="C2" s="2" t="s">
        <v>5</v>
      </c>
      <c r="E2" s="17" t="s">
        <v>97</v>
      </c>
      <c r="F2" s="17">
        <f>+(B2/2+B3/2)*(B4/2+B5/2)</f>
        <v>23.454900000000002</v>
      </c>
      <c r="G2" s="17" t="s">
        <v>42</v>
      </c>
      <c r="I2" s="17" t="s">
        <v>111</v>
      </c>
      <c r="J2" s="20">
        <f>+F10*2+(F11-2)*2</f>
        <v>8</v>
      </c>
      <c r="K2" s="17" t="s">
        <v>7</v>
      </c>
      <c r="N2" s="7"/>
      <c r="O2" s="7" t="s">
        <v>123</v>
      </c>
      <c r="P2" s="7" t="s">
        <v>124</v>
      </c>
    </row>
    <row r="3" spans="1:19" x14ac:dyDescent="0.3">
      <c r="A3" s="2" t="s">
        <v>2</v>
      </c>
      <c r="B3" s="2">
        <f>+'losa horm'!B3</f>
        <v>6.75</v>
      </c>
      <c r="C3" s="2" t="s">
        <v>5</v>
      </c>
      <c r="E3" s="2" t="s">
        <v>99</v>
      </c>
      <c r="F3" s="13">
        <v>1.3</v>
      </c>
      <c r="G3" s="2"/>
      <c r="I3" s="2" t="s">
        <v>112</v>
      </c>
      <c r="J3" s="2">
        <f>4*0.00785*F12^2+(J2-4)*0.00785*F13^2</f>
        <v>9.0431999999999988</v>
      </c>
      <c r="K3" s="2" t="s">
        <v>68</v>
      </c>
      <c r="N3" s="8">
        <v>1</v>
      </c>
      <c r="O3" s="2">
        <v>0</v>
      </c>
      <c r="P3" s="2">
        <f>+(0.85*B14*(F6-J3)+J3*B15)/1000</f>
        <v>197.0172288</v>
      </c>
      <c r="Q3" s="1">
        <f>+P3*0.8</f>
        <v>157.61378304000002</v>
      </c>
    </row>
    <row r="4" spans="1:19" x14ac:dyDescent="0.3">
      <c r="A4" s="2" t="s">
        <v>3</v>
      </c>
      <c r="B4" s="2">
        <f>+'losa horm'!B4</f>
        <v>4.5599999999999996</v>
      </c>
      <c r="C4" s="2" t="s">
        <v>5</v>
      </c>
      <c r="E4" s="2" t="s">
        <v>98</v>
      </c>
      <c r="F4" s="2">
        <f>+F2*B12*B6*F3/0.85</f>
        <v>83.464565184000008</v>
      </c>
      <c r="G4" s="2" t="s">
        <v>40</v>
      </c>
      <c r="I4" s="2" t="s">
        <v>114</v>
      </c>
      <c r="J4" s="2">
        <f>+F8-2*F17-F14/10</f>
        <v>24</v>
      </c>
      <c r="K4" s="2" t="s">
        <v>12</v>
      </c>
      <c r="N4" s="8">
        <v>2</v>
      </c>
      <c r="O4" s="2">
        <f>+((2*0.00785*F12^2*B15*(F9/2-O8)+(F10-2)*0.00785*F13^2*B15*(F9/2-O8))*2+0.85*B14*F8*O9*(F9/2-O9/2))/100000</f>
        <v>9.1215501299999993</v>
      </c>
      <c r="P4" s="2">
        <f>+P3/3</f>
        <v>65.672409599999995</v>
      </c>
    </row>
    <row r="5" spans="1:19" x14ac:dyDescent="0.3">
      <c r="A5" s="2" t="s">
        <v>4</v>
      </c>
      <c r="B5" s="2">
        <f>+'losa horm'!B5</f>
        <v>4.2</v>
      </c>
      <c r="C5" s="2" t="s">
        <v>5</v>
      </c>
      <c r="E5" s="7" t="s">
        <v>100</v>
      </c>
      <c r="F5" s="8">
        <f>3*F4*1000/(0.85*B14+0.012*B15)</f>
        <v>1093.899936880734</v>
      </c>
      <c r="G5" s="7" t="s">
        <v>68</v>
      </c>
      <c r="I5" s="2" t="s">
        <v>115</v>
      </c>
      <c r="J5" s="2">
        <f>+F9-2*F17-F14/10</f>
        <v>24</v>
      </c>
      <c r="K5" s="2" t="s">
        <v>12</v>
      </c>
      <c r="N5" s="8">
        <v>3</v>
      </c>
      <c r="O5" s="2">
        <v>0</v>
      </c>
      <c r="P5" s="2">
        <f>+J3*B15/1000*-1</f>
        <v>-37.981439999999992</v>
      </c>
    </row>
    <row r="6" spans="1:19" x14ac:dyDescent="0.3">
      <c r="A6" s="2" t="s">
        <v>6</v>
      </c>
      <c r="B6" s="5">
        <f>+'losa horm'!B6</f>
        <v>2</v>
      </c>
      <c r="C6" s="2" t="s">
        <v>7</v>
      </c>
      <c r="E6" s="7" t="s">
        <v>100</v>
      </c>
      <c r="F6" s="8">
        <f>+F8*F9</f>
        <v>900</v>
      </c>
      <c r="G6" s="7" t="s">
        <v>68</v>
      </c>
      <c r="I6" s="2" t="s">
        <v>116</v>
      </c>
      <c r="J6" s="2">
        <f>+J4*J5</f>
        <v>576</v>
      </c>
      <c r="K6" s="2" t="s">
        <v>68</v>
      </c>
    </row>
    <row r="7" spans="1:19" x14ac:dyDescent="0.3">
      <c r="A7" s="2" t="s">
        <v>8</v>
      </c>
      <c r="B7" s="2">
        <f>+'losa horm'!B7</f>
        <v>3.4</v>
      </c>
      <c r="C7" s="2" t="s">
        <v>5</v>
      </c>
      <c r="E7" s="55" t="s">
        <v>101</v>
      </c>
      <c r="F7" s="55"/>
      <c r="G7" s="55"/>
      <c r="I7" s="2"/>
      <c r="J7" s="2"/>
      <c r="K7" s="2"/>
      <c r="N7" s="2" t="s">
        <v>66</v>
      </c>
      <c r="O7" s="2">
        <f>+F9-F17-F14/10-F12/20</f>
        <v>25.9</v>
      </c>
      <c r="P7" s="2" t="s">
        <v>12</v>
      </c>
    </row>
    <row r="8" spans="1:19" x14ac:dyDescent="0.3">
      <c r="A8" s="2"/>
      <c r="B8" s="2"/>
      <c r="C8" s="2"/>
      <c r="E8" s="2" t="s">
        <v>102</v>
      </c>
      <c r="F8" s="6">
        <v>30</v>
      </c>
      <c r="G8" s="2" t="s">
        <v>12</v>
      </c>
      <c r="I8" s="55" t="s">
        <v>113</v>
      </c>
      <c r="J8" s="55"/>
      <c r="K8" s="55"/>
      <c r="N8" s="2" t="s">
        <v>126</v>
      </c>
      <c r="O8" s="2">
        <f>+F9-O7</f>
        <v>4.1000000000000014</v>
      </c>
      <c r="P8" s="2" t="s">
        <v>12</v>
      </c>
    </row>
    <row r="9" spans="1:19" x14ac:dyDescent="0.3">
      <c r="E9" s="2" t="s">
        <v>103</v>
      </c>
      <c r="F9" s="6">
        <v>30</v>
      </c>
      <c r="G9" s="2" t="s">
        <v>12</v>
      </c>
      <c r="I9" s="2" t="s">
        <v>82</v>
      </c>
      <c r="J9" s="16">
        <f>+J3/F6</f>
        <v>1.0047999999999998E-2</v>
      </c>
      <c r="K9" s="15" t="str">
        <f>+IF(J9&gt;1%,"OK","NO")</f>
        <v>OK</v>
      </c>
      <c r="N9" s="2" t="s">
        <v>125</v>
      </c>
      <c r="O9" s="2">
        <f>+O7*0.003/0.005</f>
        <v>15.539999999999997</v>
      </c>
      <c r="P9" s="2" t="s">
        <v>12</v>
      </c>
    </row>
    <row r="10" spans="1:19" x14ac:dyDescent="0.3">
      <c r="A10" s="7" t="str">
        <f>+'losa horm'!A12</f>
        <v>Cm</v>
      </c>
      <c r="B10" s="7">
        <f>+'losa horm'!B12</f>
        <v>0.70279999999999998</v>
      </c>
      <c r="C10" s="7" t="str">
        <f>+'losa horm'!C12</f>
        <v>t/m2</v>
      </c>
      <c r="E10" s="2" t="s">
        <v>104</v>
      </c>
      <c r="F10" s="6">
        <v>3</v>
      </c>
      <c r="G10" s="2" t="s">
        <v>7</v>
      </c>
      <c r="I10" s="2" t="s">
        <v>117</v>
      </c>
      <c r="J10" s="2">
        <f>+(J4-F14/10-2*F12/10-(F10-2)*F13/10)/(F10-1)</f>
        <v>9.7000000000000011</v>
      </c>
      <c r="K10" s="15" t="str">
        <f>+IF(J10&lt;15,"OK","NO")</f>
        <v>OK</v>
      </c>
    </row>
    <row r="11" spans="1:19" x14ac:dyDescent="0.3">
      <c r="A11" s="7" t="s">
        <v>53</v>
      </c>
      <c r="B11" s="7">
        <f>+'VIGAS horm'!B12</f>
        <v>0.2</v>
      </c>
      <c r="C11" s="7" t="s">
        <v>33</v>
      </c>
      <c r="E11" s="2" t="s">
        <v>105</v>
      </c>
      <c r="F11" s="6">
        <v>3</v>
      </c>
      <c r="G11" s="2" t="s">
        <v>7</v>
      </c>
      <c r="I11" s="2" t="s">
        <v>118</v>
      </c>
      <c r="J11" s="2">
        <f>+(J5-F14/10-2*F12/10-(F11-2)*F13/10)/(F11-1)</f>
        <v>9.7000000000000011</v>
      </c>
      <c r="K11" s="15" t="str">
        <f>+IF(J11&lt;15,"OK","NO")</f>
        <v>OK</v>
      </c>
      <c r="M11" s="2" t="s">
        <v>135</v>
      </c>
      <c r="N11" s="2">
        <v>5.3</v>
      </c>
    </row>
    <row r="12" spans="1:19" x14ac:dyDescent="0.3">
      <c r="A12" s="9" t="s">
        <v>54</v>
      </c>
      <c r="B12" s="9">
        <f>+B10*1.2+B11*1.6</f>
        <v>1.1633599999999999</v>
      </c>
      <c r="C12" s="9" t="s">
        <v>33</v>
      </c>
      <c r="E12" s="2" t="s">
        <v>106</v>
      </c>
      <c r="F12" s="6">
        <v>12</v>
      </c>
      <c r="G12" s="2" t="s">
        <v>70</v>
      </c>
      <c r="I12" s="56" t="s">
        <v>119</v>
      </c>
      <c r="J12" s="57"/>
      <c r="K12" s="58"/>
      <c r="M12" s="2" t="s">
        <v>136</v>
      </c>
      <c r="N12" s="2">
        <v>4</v>
      </c>
    </row>
    <row r="13" spans="1:19" x14ac:dyDescent="0.3">
      <c r="E13" s="2" t="s">
        <v>107</v>
      </c>
      <c r="F13" s="6">
        <v>12</v>
      </c>
      <c r="G13" s="2" t="s">
        <v>70</v>
      </c>
      <c r="I13" s="2" t="s">
        <v>120</v>
      </c>
      <c r="J13" s="2">
        <f>+MAX(0.3*J4*F15*B14/B15*(F6/J6-1),0.09*J4*F15*B14/B15)</f>
        <v>1.6199999999999997</v>
      </c>
      <c r="K13" s="2" t="s">
        <v>68</v>
      </c>
      <c r="M13" s="2" t="s">
        <v>137</v>
      </c>
      <c r="N13" s="2">
        <v>3.2</v>
      </c>
    </row>
    <row r="14" spans="1:19" x14ac:dyDescent="0.3">
      <c r="A14" s="2" t="s">
        <v>61</v>
      </c>
      <c r="B14" s="5">
        <f>+'VIGAS horm'!B16</f>
        <v>210</v>
      </c>
      <c r="C14" s="2" t="s">
        <v>62</v>
      </c>
      <c r="E14" s="2" t="s">
        <v>108</v>
      </c>
      <c r="F14" s="6">
        <v>10</v>
      </c>
      <c r="G14" s="2" t="s">
        <v>70</v>
      </c>
      <c r="I14" s="2" t="s">
        <v>121</v>
      </c>
      <c r="J14" s="5">
        <f>ROUNDUP(J13/0.00785/F14^2,0)-2</f>
        <v>1</v>
      </c>
      <c r="K14" s="2" t="s">
        <v>7</v>
      </c>
    </row>
    <row r="15" spans="1:19" x14ac:dyDescent="0.3">
      <c r="A15" s="2" t="s">
        <v>63</v>
      </c>
      <c r="B15" s="5">
        <f>+'VIGAS horm'!B17</f>
        <v>4200</v>
      </c>
      <c r="C15" s="2" t="s">
        <v>62</v>
      </c>
      <c r="E15" s="2" t="s">
        <v>109</v>
      </c>
      <c r="F15" s="6">
        <v>8</v>
      </c>
      <c r="G15" s="15" t="str">
        <f>+IF(F15&lt;=J15,"OK","NO")</f>
        <v>OK</v>
      </c>
      <c r="I15" s="2" t="s">
        <v>122</v>
      </c>
      <c r="J15" s="5">
        <f>+ROUNDUP(MIN(6*F12/10,10),0)</f>
        <v>8</v>
      </c>
      <c r="K15" s="2" t="s">
        <v>12</v>
      </c>
      <c r="M15" s="72" t="s">
        <v>130</v>
      </c>
      <c r="N15" s="72"/>
      <c r="O15" s="72"/>
      <c r="P15" s="72"/>
      <c r="Q15" s="72"/>
      <c r="R15" s="72"/>
      <c r="S15" s="72"/>
    </row>
    <row r="16" spans="1:19" x14ac:dyDescent="0.3">
      <c r="E16" s="2" t="s">
        <v>110</v>
      </c>
      <c r="F16" s="6">
        <v>1</v>
      </c>
      <c r="G16" s="15" t="str">
        <f>+IF(F16&gt;=J14,"OK","NO")</f>
        <v>OK</v>
      </c>
      <c r="I16" s="2"/>
      <c r="J16" s="2"/>
      <c r="K16" s="2"/>
      <c r="M16" s="2" t="s">
        <v>131</v>
      </c>
      <c r="N16" s="2">
        <f>+'VIGAS horm'!F21*B15*1.25/1000</f>
        <v>94.953599999999994</v>
      </c>
      <c r="O16" s="2" t="s">
        <v>40</v>
      </c>
      <c r="P16" s="72" t="s">
        <v>143</v>
      </c>
      <c r="Q16" s="72"/>
      <c r="R16" s="72"/>
      <c r="S16" s="72"/>
    </row>
    <row r="17" spans="1:23" x14ac:dyDescent="0.3">
      <c r="A17" s="2" t="s">
        <v>138</v>
      </c>
      <c r="B17" s="69" t="s">
        <v>135</v>
      </c>
      <c r="C17" s="69"/>
      <c r="E17" s="2" t="s">
        <v>60</v>
      </c>
      <c r="F17" s="19">
        <v>2.5</v>
      </c>
      <c r="G17" s="2" t="s">
        <v>12</v>
      </c>
      <c r="M17" s="2" t="s">
        <v>132</v>
      </c>
      <c r="N17" s="2">
        <f>+'VIGAS horm'!F29*B15*1.25/1000</f>
        <v>63.302399999999992</v>
      </c>
      <c r="O17" s="2" t="s">
        <v>40</v>
      </c>
      <c r="P17" s="23"/>
      <c r="Q17" s="23" t="s">
        <v>144</v>
      </c>
      <c r="R17" s="23" t="s">
        <v>145</v>
      </c>
      <c r="S17" s="23"/>
    </row>
    <row r="18" spans="1:23" x14ac:dyDescent="0.3">
      <c r="E18" s="2"/>
      <c r="F18" s="2"/>
      <c r="G18" s="2"/>
      <c r="I18" s="56" t="s">
        <v>127</v>
      </c>
      <c r="J18" s="57"/>
      <c r="K18" s="58"/>
      <c r="M18" s="2" t="s">
        <v>133</v>
      </c>
      <c r="N18" s="2">
        <f>+J20/B7</f>
        <v>9.7821921550173005</v>
      </c>
      <c r="O18" s="2" t="s">
        <v>40</v>
      </c>
      <c r="P18" s="23" t="s">
        <v>146</v>
      </c>
      <c r="Q18" s="2">
        <f>+N19</f>
        <v>148.47380784498267</v>
      </c>
      <c r="R18" s="2">
        <f>+N20</f>
        <v>58.755287017425061</v>
      </c>
      <c r="S18" s="15" t="str">
        <f>+IF(R18&gt;Q18,"OK","NO")</f>
        <v>NO</v>
      </c>
    </row>
    <row r="19" spans="1:23" x14ac:dyDescent="0.3">
      <c r="E19" s="2"/>
      <c r="F19" s="2"/>
      <c r="G19" s="2"/>
      <c r="I19" s="21" t="s">
        <v>128</v>
      </c>
      <c r="J19" s="2">
        <f>+O4*2</f>
        <v>18.243100259999999</v>
      </c>
      <c r="K19" s="74">
        <f>+J19/J20</f>
        <v>0.54850872263609929</v>
      </c>
      <c r="M19" s="7" t="s">
        <v>134</v>
      </c>
      <c r="N19" s="7">
        <f>+N16+N17-N18</f>
        <v>148.47380784498267</v>
      </c>
      <c r="O19" s="7" t="s">
        <v>40</v>
      </c>
      <c r="P19" s="23" t="s">
        <v>147</v>
      </c>
      <c r="Q19" s="5">
        <f>+'VIGAS horm'!F11</f>
        <v>33</v>
      </c>
      <c r="R19" s="5">
        <f>+F9</f>
        <v>30</v>
      </c>
      <c r="S19" s="15" t="str">
        <f>+IF(R19&gt;=Q19,"OK","NO")</f>
        <v>NO</v>
      </c>
    </row>
    <row r="20" spans="1:23" x14ac:dyDescent="0.3">
      <c r="I20" s="21" t="s">
        <v>129</v>
      </c>
      <c r="J20" s="2">
        <f>+'VIGAS horm'!J18+'VIGAS horm'!J19</f>
        <v>33.259453327058822</v>
      </c>
      <c r="K20" s="75"/>
      <c r="M20" s="7" t="s">
        <v>142</v>
      </c>
      <c r="N20" s="7">
        <f>+N24*B14^0.5*N25*0.85/1000</f>
        <v>58.755287017425061</v>
      </c>
      <c r="O20" s="7" t="s">
        <v>40</v>
      </c>
      <c r="P20" s="23" t="s">
        <v>148</v>
      </c>
      <c r="Q20" s="5">
        <f>20*'VIGAS horm'!F16/10</f>
        <v>32</v>
      </c>
      <c r="R20" s="5">
        <f>+F9</f>
        <v>30</v>
      </c>
      <c r="S20" s="15" t="str">
        <f>+IF(R20&gt;=Q20,"OK","NO")</f>
        <v>NO</v>
      </c>
    </row>
    <row r="21" spans="1:23" x14ac:dyDescent="0.3">
      <c r="I21" s="76" t="str">
        <f>+IF(K19&gt;1.2,"OK","NO")</f>
        <v>NO</v>
      </c>
      <c r="J21" s="77"/>
      <c r="K21" s="78"/>
      <c r="M21" s="2"/>
      <c r="N21" s="2"/>
      <c r="O21" s="2"/>
      <c r="P21" s="73" t="str">
        <f>+IF(S41=1,"OK","NO")</f>
        <v>NO</v>
      </c>
      <c r="Q21" s="73"/>
      <c r="R21" s="73"/>
      <c r="S21" s="73"/>
    </row>
    <row r="22" spans="1:23" x14ac:dyDescent="0.3">
      <c r="I22" s="2"/>
      <c r="J22" s="2"/>
      <c r="K22" s="2"/>
      <c r="M22" s="22" t="s">
        <v>77</v>
      </c>
      <c r="N22" s="2">
        <f>+IF(B17=M11,N11,IF(B17=M12,N12,N13))</f>
        <v>5.3</v>
      </c>
      <c r="O22" s="2"/>
    </row>
    <row r="23" spans="1:23" x14ac:dyDescent="0.3">
      <c r="M23" s="2" t="s">
        <v>139</v>
      </c>
      <c r="N23" s="70" t="str">
        <f>+IF(N26&lt;0.75*F8,"Baje","Mantenga")</f>
        <v>Mantenga</v>
      </c>
      <c r="O23" s="71"/>
    </row>
    <row r="24" spans="1:23" x14ac:dyDescent="0.3">
      <c r="M24" s="22" t="s">
        <v>141</v>
      </c>
      <c r="N24" s="13">
        <v>5.3</v>
      </c>
      <c r="O24" s="2"/>
    </row>
    <row r="25" spans="1:23" x14ac:dyDescent="0.3">
      <c r="M25" s="2" t="s">
        <v>116</v>
      </c>
      <c r="N25" s="2">
        <f>+(N26+F8)/2*F9</f>
        <v>900</v>
      </c>
      <c r="O25" s="2" t="s">
        <v>68</v>
      </c>
    </row>
    <row r="26" spans="1:23" x14ac:dyDescent="0.3">
      <c r="M26" s="2" t="s">
        <v>140</v>
      </c>
      <c r="N26" s="5">
        <f>+'VIGAS horm'!F8</f>
        <v>30</v>
      </c>
      <c r="O26" s="2" t="s">
        <v>12</v>
      </c>
    </row>
    <row r="28" spans="1:23" x14ac:dyDescent="0.3">
      <c r="P28" s="1" t="s">
        <v>154</v>
      </c>
      <c r="Q28" s="1" t="s">
        <v>155</v>
      </c>
      <c r="R28" s="1" t="s">
        <v>156</v>
      </c>
      <c r="S28" s="1" t="s">
        <v>157</v>
      </c>
      <c r="T28" s="1" t="s">
        <v>108</v>
      </c>
      <c r="U28" s="1" t="s">
        <v>75</v>
      </c>
      <c r="V28" s="1" t="s">
        <v>121</v>
      </c>
    </row>
    <row r="29" spans="1:23" x14ac:dyDescent="0.3">
      <c r="O29" s="1" t="s">
        <v>153</v>
      </c>
      <c r="P29" s="11">
        <v>5</v>
      </c>
      <c r="Q29" s="11">
        <v>5</v>
      </c>
      <c r="R29" s="11">
        <v>16</v>
      </c>
      <c r="S29" s="11">
        <v>14</v>
      </c>
      <c r="T29" s="11">
        <v>10</v>
      </c>
      <c r="U29" s="11">
        <v>10</v>
      </c>
      <c r="V29" s="11">
        <v>1</v>
      </c>
    </row>
    <row r="30" spans="1:23" x14ac:dyDescent="0.3">
      <c r="O30" s="1" t="s">
        <v>158</v>
      </c>
      <c r="P30" s="11">
        <v>4</v>
      </c>
      <c r="Q30" s="11">
        <v>3</v>
      </c>
      <c r="R30" s="11">
        <v>14</v>
      </c>
      <c r="S30" s="11">
        <v>12</v>
      </c>
      <c r="T30" s="11">
        <v>10</v>
      </c>
      <c r="U30" s="11">
        <v>9</v>
      </c>
      <c r="V30" s="11">
        <v>0</v>
      </c>
      <c r="W30" s="11"/>
    </row>
    <row r="31" spans="1:23" x14ac:dyDescent="0.3">
      <c r="O31" s="1" t="s">
        <v>159</v>
      </c>
      <c r="V31" s="1">
        <v>1</v>
      </c>
    </row>
    <row r="38" spans="19:19" x14ac:dyDescent="0.3">
      <c r="S38" s="11">
        <f>+IF(S18="OK",1,0)</f>
        <v>0</v>
      </c>
    </row>
    <row r="39" spans="19:19" x14ac:dyDescent="0.3">
      <c r="S39" s="11">
        <f>+IF(S19="OK",1,0)</f>
        <v>0</v>
      </c>
    </row>
    <row r="40" spans="19:19" x14ac:dyDescent="0.3">
      <c r="S40" s="11">
        <f>+IF(S20="OK",1,0)</f>
        <v>0</v>
      </c>
    </row>
    <row r="41" spans="19:19" x14ac:dyDescent="0.3">
      <c r="S41" s="11">
        <f>+S38*S39*S40</f>
        <v>0</v>
      </c>
    </row>
  </sheetData>
  <mergeCells count="13">
    <mergeCell ref="P16:S16"/>
    <mergeCell ref="P21:S21"/>
    <mergeCell ref="M15:S15"/>
    <mergeCell ref="I18:K18"/>
    <mergeCell ref="K19:K20"/>
    <mergeCell ref="I21:K21"/>
    <mergeCell ref="B17:C17"/>
    <mergeCell ref="N23:O23"/>
    <mergeCell ref="I8:K8"/>
    <mergeCell ref="I12:K12"/>
    <mergeCell ref="A1:C1"/>
    <mergeCell ref="E7:G7"/>
    <mergeCell ref="E1:K1"/>
  </mergeCells>
  <conditionalFormatting sqref="K19:K20">
    <cfRule type="cellIs" dxfId="0" priority="1" operator="lessThan">
      <formula>1.2</formula>
    </cfRule>
  </conditionalFormatting>
  <dataValidations count="3">
    <dataValidation type="list" allowBlank="1" showInputMessage="1" showErrorMessage="1" sqref="F12:F13" xr:uid="{1FB763CE-8F01-47CC-9ABB-C39C8F2468D7}">
      <formula1>"10,12,14,16,18,20,22,25,28,32,35"</formula1>
    </dataValidation>
    <dataValidation type="list" allowBlank="1" showInputMessage="1" showErrorMessage="1" sqref="F14" xr:uid="{3A3BB99A-6F0B-40B2-B717-FAABE37B3D55}">
      <formula1>"10,12"</formula1>
    </dataValidation>
    <dataValidation type="list" allowBlank="1" showInputMessage="1" showErrorMessage="1" sqref="B17:C17" xr:uid="{CCCEBE02-F811-4D5A-8BCF-73AD3834B7D6}">
      <formula1>"INT,MED,ESQ"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AE00-514E-4D35-B982-E95406028E10}">
  <dimension ref="A1:V32"/>
  <sheetViews>
    <sheetView zoomScale="130" zoomScaleNormal="130" workbookViewId="0">
      <selection activeCell="E2" sqref="E1:H1048576"/>
    </sheetView>
  </sheetViews>
  <sheetFormatPr baseColWidth="10" defaultRowHeight="14.4" x14ac:dyDescent="0.3"/>
  <cols>
    <col min="1" max="2" width="8.77734375" style="1" customWidth="1"/>
    <col min="3" max="3" width="7.77734375" style="1" customWidth="1"/>
    <col min="4" max="4" width="1.44140625" style="1" customWidth="1"/>
    <col min="5" max="5" width="10" style="1" customWidth="1"/>
    <col min="6" max="6" width="8.33203125" style="1" customWidth="1"/>
    <col min="7" max="7" width="8.109375" style="1" customWidth="1"/>
    <col min="8" max="8" width="8.33203125" style="1" customWidth="1"/>
    <col min="9" max="9" width="2.5546875" style="1" customWidth="1"/>
    <col min="10" max="13" width="8.33203125" style="1" customWidth="1"/>
    <col min="14" max="16" width="7.77734375" style="1" customWidth="1"/>
    <col min="17" max="17" width="8.44140625" style="1" customWidth="1"/>
    <col min="18" max="20" width="8.33203125" style="1" customWidth="1"/>
    <col min="21" max="16384" width="11.5546875" style="1"/>
  </cols>
  <sheetData>
    <row r="1" spans="1:22" x14ac:dyDescent="0.3">
      <c r="A1" s="55" t="s">
        <v>162</v>
      </c>
      <c r="B1" s="55"/>
      <c r="C1" s="55"/>
      <c r="E1" s="79" t="s">
        <v>184</v>
      </c>
      <c r="F1" s="80"/>
      <c r="G1" s="81"/>
      <c r="H1" s="30"/>
      <c r="I1" s="28"/>
      <c r="J1" s="55" t="s">
        <v>185</v>
      </c>
      <c r="K1" s="55"/>
      <c r="L1" s="55"/>
      <c r="M1" s="30"/>
      <c r="O1" s="28" t="s">
        <v>174</v>
      </c>
      <c r="P1" s="28" t="s">
        <v>175</v>
      </c>
      <c r="Q1" s="1" t="s">
        <v>179</v>
      </c>
    </row>
    <row r="2" spans="1:22" x14ac:dyDescent="0.3">
      <c r="A2" s="2" t="s">
        <v>163</v>
      </c>
      <c r="B2" s="3">
        <v>1</v>
      </c>
      <c r="C2" s="2"/>
      <c r="E2" s="2" t="s">
        <v>173</v>
      </c>
      <c r="F2" s="2">
        <f>0.55*B11*B10/B9</f>
        <v>0.69813333333333338</v>
      </c>
      <c r="G2" s="2" t="s">
        <v>91</v>
      </c>
      <c r="J2" s="2" t="s">
        <v>173</v>
      </c>
      <c r="K2" s="2">
        <f>+F2</f>
        <v>0.69813333333333338</v>
      </c>
      <c r="L2" s="2" t="s">
        <v>91</v>
      </c>
      <c r="O2" s="1">
        <v>0</v>
      </c>
      <c r="P2" s="1">
        <f>+IF(O2&lt;$F$2,$B$7*$B$8*$B$9,$B$7*$B$8*$B$9*($F$2/O2)^$B$12)</f>
        <v>1.1903999999999999</v>
      </c>
      <c r="Q2" s="1">
        <f>+$B$2*P2/$B$3/$B$4/$B$5</f>
        <v>0.22044444444444442</v>
      </c>
      <c r="U2" s="1" t="s">
        <v>177</v>
      </c>
      <c r="V2" s="1" t="s">
        <v>22</v>
      </c>
    </row>
    <row r="3" spans="1:22" x14ac:dyDescent="0.3">
      <c r="A3" s="2" t="s">
        <v>164</v>
      </c>
      <c r="B3" s="3">
        <v>0.9</v>
      </c>
      <c r="C3" s="2"/>
      <c r="E3" s="2" t="s">
        <v>176</v>
      </c>
      <c r="F3" s="13">
        <v>0.45</v>
      </c>
      <c r="G3" s="2" t="s">
        <v>91</v>
      </c>
      <c r="J3" s="2" t="s">
        <v>176</v>
      </c>
      <c r="K3" s="13">
        <v>0.48</v>
      </c>
      <c r="L3" s="2" t="s">
        <v>91</v>
      </c>
      <c r="O3" s="1">
        <v>0.1</v>
      </c>
      <c r="P3" s="1">
        <f>+IF(O3&lt;$F$2,$B$7*$B$8*$B$9,$B$7*$B$8*$B$9*($F$2/O3)^$B$12)</f>
        <v>1.1903999999999999</v>
      </c>
      <c r="Q3" s="1">
        <f t="shared" ref="Q3:Q32" si="0">+$B$2*P3/$B$3/$B$4/$B$5</f>
        <v>0.22044444444444442</v>
      </c>
      <c r="U3" s="1">
        <f>+F3</f>
        <v>0.45</v>
      </c>
      <c r="V3" s="1">
        <v>0</v>
      </c>
    </row>
    <row r="4" spans="1:22" x14ac:dyDescent="0.3">
      <c r="A4" s="2" t="s">
        <v>165</v>
      </c>
      <c r="B4" s="3">
        <v>1</v>
      </c>
      <c r="C4" s="2"/>
      <c r="E4" s="2" t="s">
        <v>175</v>
      </c>
      <c r="F4" s="2">
        <f>VLOOKUP(F3,$O$2:$P$32,2,1)</f>
        <v>1.1903999999999999</v>
      </c>
      <c r="G4" s="2"/>
      <c r="J4" s="2" t="s">
        <v>175</v>
      </c>
      <c r="K4" s="2">
        <f>VLOOKUP(K3,$O$2:$P$32,2,1)</f>
        <v>1.1903999999999999</v>
      </c>
      <c r="L4" s="2"/>
      <c r="O4" s="1">
        <v>0.2</v>
      </c>
      <c r="P4" s="1">
        <f>+IF(O4&lt;$F$2,$B$7*$B$8*$B$9,$B$7*$B$8*$B$9*($F$2/O4)^$B$12)</f>
        <v>1.1903999999999999</v>
      </c>
      <c r="Q4" s="1">
        <f t="shared" si="0"/>
        <v>0.22044444444444442</v>
      </c>
      <c r="U4" s="1">
        <f>+U3</f>
        <v>0.45</v>
      </c>
      <c r="V4" s="1">
        <f>+F4</f>
        <v>1.1903999999999999</v>
      </c>
    </row>
    <row r="5" spans="1:22" x14ac:dyDescent="0.3">
      <c r="A5" s="2" t="s">
        <v>166</v>
      </c>
      <c r="B5" s="3">
        <v>6</v>
      </c>
      <c r="C5" s="2"/>
      <c r="E5" s="7" t="s">
        <v>178</v>
      </c>
      <c r="F5" s="56">
        <f>+B2*F4/B3/B4/B5</f>
        <v>0.22044444444444442</v>
      </c>
      <c r="G5" s="58"/>
      <c r="J5" s="7" t="s">
        <v>178</v>
      </c>
      <c r="K5" s="56">
        <f>+B2*K4/B3/B4/B5</f>
        <v>0.22044444444444442</v>
      </c>
      <c r="L5" s="58"/>
      <c r="O5" s="1">
        <v>0.3</v>
      </c>
      <c r="P5" s="1">
        <f>+IF(O5&lt;$F$2,$B$7*$B$8*$B$9,$B$7*$B$8*$B$9*($F$2/O5)^$B$12)</f>
        <v>1.1903999999999999</v>
      </c>
      <c r="Q5" s="1">
        <f t="shared" si="0"/>
        <v>0.22044444444444442</v>
      </c>
    </row>
    <row r="6" spans="1:22" x14ac:dyDescent="0.3">
      <c r="A6" s="2"/>
      <c r="B6" s="2"/>
      <c r="C6" s="2"/>
      <c r="E6" s="2"/>
      <c r="F6" s="2"/>
      <c r="G6" s="2"/>
      <c r="J6" s="2"/>
      <c r="K6" s="2"/>
      <c r="L6" s="2"/>
      <c r="O6" s="1">
        <v>0.4</v>
      </c>
      <c r="P6" s="1">
        <f>+IF(O6&lt;$F$2,$B$7*$B$8*$B$9,$B$7*$B$8*$B$9*($F$2/O6)^$B$12)</f>
        <v>1.1903999999999999</v>
      </c>
      <c r="Q6" s="1">
        <f t="shared" si="0"/>
        <v>0.22044444444444442</v>
      </c>
      <c r="U6" s="1">
        <v>0</v>
      </c>
      <c r="V6" s="1">
        <f>+F4</f>
        <v>1.1903999999999999</v>
      </c>
    </row>
    <row r="7" spans="1:22" x14ac:dyDescent="0.3">
      <c r="A7" s="2" t="s">
        <v>167</v>
      </c>
      <c r="B7" s="3">
        <v>2.48</v>
      </c>
      <c r="C7" s="2"/>
      <c r="E7" s="2"/>
      <c r="F7" s="2"/>
      <c r="G7" s="2"/>
      <c r="J7" s="2"/>
      <c r="K7" s="2"/>
      <c r="L7" s="2"/>
      <c r="O7" s="1">
        <v>0.5</v>
      </c>
      <c r="P7" s="1">
        <f>+IF(O7&lt;$F$2,$B$7*$B$8*$B$9,$B$7*$B$8*$B$9*($F$2/O7)^$B$12)</f>
        <v>1.1903999999999999</v>
      </c>
      <c r="Q7" s="1">
        <f t="shared" si="0"/>
        <v>0.22044444444444442</v>
      </c>
      <c r="U7" s="1">
        <f>+U3</f>
        <v>0.45</v>
      </c>
      <c r="V7" s="1">
        <f>+F4</f>
        <v>1.1903999999999999</v>
      </c>
    </row>
    <row r="8" spans="1:22" x14ac:dyDescent="0.3">
      <c r="A8" s="2" t="s">
        <v>168</v>
      </c>
      <c r="B8" s="3">
        <v>0.4</v>
      </c>
      <c r="C8" s="2"/>
      <c r="E8" s="2"/>
      <c r="F8" s="2"/>
      <c r="G8" s="2"/>
      <c r="J8" s="2"/>
      <c r="K8" s="2"/>
      <c r="L8" s="2"/>
      <c r="O8" s="1">
        <v>0.6</v>
      </c>
      <c r="P8" s="1">
        <f>+IF(O8&lt;$F$2,$B$7*$B$8*$B$9,$B$7*$B$8*$B$9*($F$2/O8)^$B$12)</f>
        <v>1.1903999999999999</v>
      </c>
      <c r="Q8" s="1">
        <f t="shared" si="0"/>
        <v>0.22044444444444442</v>
      </c>
    </row>
    <row r="9" spans="1:22" x14ac:dyDescent="0.3">
      <c r="A9" s="2" t="s">
        <v>169</v>
      </c>
      <c r="B9" s="3">
        <v>1.2</v>
      </c>
      <c r="C9" s="2"/>
      <c r="E9" s="2"/>
      <c r="F9" s="2"/>
      <c r="G9" s="2"/>
      <c r="J9" s="2"/>
      <c r="K9" s="2"/>
      <c r="L9" s="2"/>
      <c r="O9" s="1">
        <v>0.7</v>
      </c>
      <c r="P9" s="1">
        <f>+IF(O9&lt;$F$2,$B$7*$B$8*$B$9,$B$7*$B$8*$B$9*($F$2/O9)^$B$12)</f>
        <v>1.1872256000000001</v>
      </c>
      <c r="Q9" s="1">
        <f t="shared" si="0"/>
        <v>0.2198565925925926</v>
      </c>
    </row>
    <row r="10" spans="1:22" x14ac:dyDescent="0.3">
      <c r="A10" s="2" t="s">
        <v>170</v>
      </c>
      <c r="B10" s="3">
        <v>1.19</v>
      </c>
      <c r="C10" s="2"/>
      <c r="E10" s="2"/>
      <c r="F10" s="2"/>
      <c r="G10" s="2"/>
      <c r="J10" s="2"/>
      <c r="K10" s="2"/>
      <c r="L10" s="2"/>
      <c r="O10" s="1">
        <v>0.8</v>
      </c>
      <c r="P10" s="1">
        <f>+IF(O10&lt;$F$2,$B$7*$B$8*$B$9,$B$7*$B$8*$B$9*($F$2/O10)^$B$12)</f>
        <v>1.0388223999999999</v>
      </c>
      <c r="Q10" s="1">
        <f t="shared" si="0"/>
        <v>0.1923745185185185</v>
      </c>
    </row>
    <row r="11" spans="1:22" x14ac:dyDescent="0.3">
      <c r="A11" s="2" t="s">
        <v>171</v>
      </c>
      <c r="B11" s="3">
        <v>1.28</v>
      </c>
      <c r="C11" s="2"/>
      <c r="E11" s="32"/>
      <c r="F11" s="32"/>
      <c r="G11" s="32"/>
      <c r="J11" s="32"/>
      <c r="K11" s="32"/>
      <c r="L11" s="32"/>
      <c r="O11" s="1">
        <v>0.9</v>
      </c>
      <c r="P11" s="1">
        <f>+IF(O11&lt;$F$2,$B$7*$B$8*$B$9,$B$7*$B$8*$B$9*($F$2/O11)^$B$12)</f>
        <v>0.92339768888888896</v>
      </c>
      <c r="Q11" s="1">
        <f t="shared" si="0"/>
        <v>0.1709995720164609</v>
      </c>
    </row>
    <row r="12" spans="1:22" x14ac:dyDescent="0.3">
      <c r="A12" s="2" t="s">
        <v>172</v>
      </c>
      <c r="B12" s="3">
        <v>1</v>
      </c>
      <c r="C12" s="2"/>
      <c r="E12" s="33"/>
      <c r="F12" s="33" t="s">
        <v>181</v>
      </c>
      <c r="G12" s="33" t="s">
        <v>182</v>
      </c>
      <c r="H12" s="33"/>
      <c r="I12" s="34"/>
      <c r="J12" s="33"/>
      <c r="K12" s="33" t="s">
        <v>181</v>
      </c>
      <c r="L12" s="33" t="s">
        <v>182</v>
      </c>
      <c r="M12" s="33"/>
      <c r="O12" s="1">
        <v>1</v>
      </c>
      <c r="P12" s="1">
        <f>+IF(O12&lt;$F$2,$B$7*$B$8*$B$9,$B$7*$B$8*$B$9*($F$2/O12)^$B$12)</f>
        <v>0.83105792000000001</v>
      </c>
      <c r="Q12" s="1">
        <f t="shared" si="0"/>
        <v>0.15389961481481482</v>
      </c>
    </row>
    <row r="13" spans="1:22" x14ac:dyDescent="0.3">
      <c r="A13" s="2"/>
      <c r="B13" s="2"/>
      <c r="C13" s="2"/>
      <c r="E13" s="2" t="s">
        <v>180</v>
      </c>
      <c r="F13" s="29">
        <v>2.5999999999999999E-3</v>
      </c>
      <c r="G13" s="16">
        <f>+F13*0.75*$B$5</f>
        <v>1.1699999999999999E-2</v>
      </c>
      <c r="H13" s="31" t="str">
        <f>+IF(G13&lt;2%,"OK","NO")</f>
        <v>OK</v>
      </c>
      <c r="I13" s="35"/>
      <c r="J13" s="2" t="s">
        <v>180</v>
      </c>
      <c r="K13" s="29">
        <v>3.2000000000000002E-3</v>
      </c>
      <c r="L13" s="16">
        <f>+K13*0.75*$B$5</f>
        <v>1.4400000000000001E-2</v>
      </c>
      <c r="M13" s="31" t="str">
        <f>+IF(L13&lt;2%,"OK","NO")</f>
        <v>OK</v>
      </c>
      <c r="O13" s="1">
        <v>1.1000000000000001</v>
      </c>
      <c r="P13" s="1">
        <f>+IF(O13&lt;$F$2,$B$7*$B$8*$B$9,$B$7*$B$8*$B$9*($F$2/O13)^$B$12)</f>
        <v>0.75550720000000005</v>
      </c>
      <c r="Q13" s="1">
        <f t="shared" si="0"/>
        <v>0.13990874074074075</v>
      </c>
    </row>
    <row r="14" spans="1:22" x14ac:dyDescent="0.3">
      <c r="A14" s="2"/>
      <c r="B14" s="2"/>
      <c r="C14" s="2"/>
      <c r="E14" s="2" t="s">
        <v>183</v>
      </c>
      <c r="F14" s="29">
        <v>2.2000000000000001E-3</v>
      </c>
      <c r="G14" s="16">
        <f>+F14*0.75*$B$5</f>
        <v>9.8999999999999991E-3</v>
      </c>
      <c r="H14" s="31" t="str">
        <f>+IF(G14&lt;2%,"OK","NO")</f>
        <v>OK</v>
      </c>
      <c r="I14" s="35"/>
      <c r="J14" s="2" t="s">
        <v>183</v>
      </c>
      <c r="K14" s="29">
        <v>2.5000000000000001E-3</v>
      </c>
      <c r="L14" s="16">
        <f>+K14*0.75*$B$5</f>
        <v>1.125E-2</v>
      </c>
      <c r="M14" s="31" t="str">
        <f>+IF(L14&lt;2%,"OK","NO")</f>
        <v>OK</v>
      </c>
      <c r="O14" s="1">
        <v>1.2</v>
      </c>
      <c r="P14" s="1">
        <f>+IF(O14&lt;$F$2,$B$7*$B$8*$B$9,$B$7*$B$8*$B$9*($F$2/O14)^$B$12)</f>
        <v>0.69254826666666669</v>
      </c>
      <c r="Q14" s="1">
        <f t="shared" si="0"/>
        <v>0.12824967901234569</v>
      </c>
    </row>
    <row r="15" spans="1:22" x14ac:dyDescent="0.3">
      <c r="A15" s="2"/>
      <c r="B15" s="2"/>
      <c r="C15" s="2"/>
      <c r="E15" s="2"/>
      <c r="F15" s="2"/>
      <c r="G15" s="2"/>
      <c r="J15" s="2"/>
      <c r="K15" s="2"/>
      <c r="L15" s="2"/>
      <c r="O15" s="1">
        <v>1.3</v>
      </c>
      <c r="P15" s="1">
        <f>+IF(O15&lt;$F$2,$B$7*$B$8*$B$9,$B$7*$B$8*$B$9*($F$2/O15)^$B$12)</f>
        <v>0.63927532307692314</v>
      </c>
      <c r="Q15" s="1">
        <f t="shared" si="0"/>
        <v>0.11838431908831909</v>
      </c>
    </row>
    <row r="16" spans="1:22" x14ac:dyDescent="0.3">
      <c r="A16" s="2"/>
      <c r="B16" s="2"/>
      <c r="C16" s="2"/>
      <c r="E16" s="2"/>
      <c r="F16" s="2"/>
      <c r="G16" s="2"/>
      <c r="J16" s="2"/>
      <c r="K16" s="2"/>
      <c r="L16" s="2"/>
      <c r="O16" s="1">
        <v>1.4</v>
      </c>
      <c r="P16" s="1">
        <f>+IF(O16&lt;$F$2,$B$7*$B$8*$B$9,$B$7*$B$8*$B$9*($F$2/O16)^$B$12)</f>
        <v>0.59361280000000005</v>
      </c>
      <c r="Q16" s="1">
        <f t="shared" si="0"/>
        <v>0.1099282962962963</v>
      </c>
    </row>
    <row r="17" spans="1:17" x14ac:dyDescent="0.3">
      <c r="A17" s="2"/>
      <c r="B17" s="2"/>
      <c r="C17" s="2"/>
      <c r="E17" s="2"/>
      <c r="F17" s="2"/>
      <c r="G17" s="2"/>
      <c r="J17" s="2"/>
      <c r="K17" s="2"/>
      <c r="L17" s="2"/>
      <c r="O17" s="1">
        <v>1.5</v>
      </c>
      <c r="P17" s="1">
        <f>+IF(O17&lt;$F$2,$B$7*$B$8*$B$9,$B$7*$B$8*$B$9*($F$2/O17)^$B$12)</f>
        <v>0.55403861333333326</v>
      </c>
      <c r="Q17" s="1">
        <f t="shared" si="0"/>
        <v>0.10259974320987653</v>
      </c>
    </row>
    <row r="18" spans="1:17" x14ac:dyDescent="0.3">
      <c r="O18" s="1">
        <v>1.6</v>
      </c>
      <c r="P18" s="1">
        <f>+IF(O18&lt;$F$2,$B$7*$B$8*$B$9,$B$7*$B$8*$B$9*($F$2/O18)^$B$12)</f>
        <v>0.51941119999999996</v>
      </c>
      <c r="Q18" s="1">
        <f t="shared" si="0"/>
        <v>9.618725925925925E-2</v>
      </c>
    </row>
    <row r="19" spans="1:17" x14ac:dyDescent="0.3">
      <c r="O19" s="1">
        <v>1.7</v>
      </c>
      <c r="P19" s="1">
        <f>+IF(O19&lt;$F$2,$B$7*$B$8*$B$9,$B$7*$B$8*$B$9*($F$2/O19)^$B$12)</f>
        <v>0.4888576</v>
      </c>
      <c r="Q19" s="1">
        <f t="shared" si="0"/>
        <v>9.0529185185185171E-2</v>
      </c>
    </row>
    <row r="20" spans="1:17" x14ac:dyDescent="0.3">
      <c r="O20" s="1">
        <v>1.8</v>
      </c>
      <c r="P20" s="1">
        <f>+IF(O20&lt;$F$2,$B$7*$B$8*$B$9,$B$7*$B$8*$B$9*($F$2/O20)^$B$12)</f>
        <v>0.46169884444444448</v>
      </c>
      <c r="Q20" s="1">
        <f t="shared" si="0"/>
        <v>8.5499786008230452E-2</v>
      </c>
    </row>
    <row r="21" spans="1:17" x14ac:dyDescent="0.3">
      <c r="O21" s="1">
        <v>1.9</v>
      </c>
      <c r="P21" s="1">
        <f>+IF(O21&lt;$F$2,$B$7*$B$8*$B$9,$B$7*$B$8*$B$9*($F$2/O21)^$B$12)</f>
        <v>0.43739890526315794</v>
      </c>
      <c r="Q21" s="1">
        <f t="shared" si="0"/>
        <v>8.0999797270955173E-2</v>
      </c>
    </row>
    <row r="22" spans="1:17" x14ac:dyDescent="0.3">
      <c r="O22" s="1">
        <v>2</v>
      </c>
      <c r="P22" s="1">
        <f>+IF(O22&lt;$F$2,$B$7*$B$8*$B$9,$B$7*$B$8*$B$9*($F$2/O22)^$B$12)</f>
        <v>0.41552896</v>
      </c>
      <c r="Q22" s="1">
        <f t="shared" si="0"/>
        <v>7.6949807407407408E-2</v>
      </c>
    </row>
    <row r="23" spans="1:17" x14ac:dyDescent="0.3">
      <c r="O23" s="1">
        <v>2.1</v>
      </c>
      <c r="P23" s="1">
        <f>+IF(O23&lt;$F$2,$B$7*$B$8*$B$9,$B$7*$B$8*$B$9*($F$2/O23)^$B$12)</f>
        <v>0.39574186666666661</v>
      </c>
      <c r="Q23" s="1">
        <f t="shared" si="0"/>
        <v>7.3285530864197521E-2</v>
      </c>
    </row>
    <row r="24" spans="1:17" x14ac:dyDescent="0.3">
      <c r="O24" s="1">
        <v>2.2000000000000002</v>
      </c>
      <c r="P24" s="1">
        <f>+IF(O24&lt;$F$2,$B$7*$B$8*$B$9,$B$7*$B$8*$B$9*($F$2/O24)^$B$12)</f>
        <v>0.37775360000000002</v>
      </c>
      <c r="Q24" s="1">
        <f t="shared" si="0"/>
        <v>6.9954370370370375E-2</v>
      </c>
    </row>
    <row r="25" spans="1:17" x14ac:dyDescent="0.3">
      <c r="O25" s="1">
        <v>2.2999999999999998</v>
      </c>
      <c r="P25" s="1">
        <f>+IF(O25&lt;$F$2,$B$7*$B$8*$B$9,$B$7*$B$8*$B$9*($F$2/O25)^$B$12)</f>
        <v>0.36132953043478266</v>
      </c>
      <c r="Q25" s="1">
        <f t="shared" si="0"/>
        <v>6.6912876006441233E-2</v>
      </c>
    </row>
    <row r="26" spans="1:17" x14ac:dyDescent="0.3">
      <c r="O26" s="1">
        <v>2.4</v>
      </c>
      <c r="P26" s="1">
        <f>+IF(O26&lt;$F$2,$B$7*$B$8*$B$9,$B$7*$B$8*$B$9*($F$2/O26)^$B$12)</f>
        <v>0.34627413333333334</v>
      </c>
      <c r="Q26" s="1">
        <f t="shared" si="0"/>
        <v>6.4124839506172843E-2</v>
      </c>
    </row>
    <row r="27" spans="1:17" x14ac:dyDescent="0.3">
      <c r="O27" s="1">
        <v>2.5</v>
      </c>
      <c r="P27" s="1">
        <f>+IF(O27&lt;$F$2,$B$7*$B$8*$B$9,$B$7*$B$8*$B$9*($F$2/O27)^$B$12)</f>
        <v>0.33242316799999999</v>
      </c>
      <c r="Q27" s="1">
        <f t="shared" si="0"/>
        <v>6.1559845925925921E-2</v>
      </c>
    </row>
    <row r="28" spans="1:17" x14ac:dyDescent="0.3">
      <c r="O28" s="1">
        <v>2.6</v>
      </c>
      <c r="P28" s="1">
        <f>+IF(O28&lt;$F$2,$B$7*$B$8*$B$9,$B$7*$B$8*$B$9*($F$2/O28)^$B$12)</f>
        <v>0.31963766153846157</v>
      </c>
      <c r="Q28" s="1">
        <f t="shared" si="0"/>
        <v>5.9192159544159545E-2</v>
      </c>
    </row>
    <row r="29" spans="1:17" x14ac:dyDescent="0.3">
      <c r="O29" s="1">
        <v>2.7</v>
      </c>
      <c r="P29" s="1">
        <f>+IF(O29&lt;$F$2,$B$7*$B$8*$B$9,$B$7*$B$8*$B$9*($F$2/O29)^$B$12)</f>
        <v>0.30779922962962963</v>
      </c>
      <c r="Q29" s="1">
        <f t="shared" si="0"/>
        <v>5.6999857338820299E-2</v>
      </c>
    </row>
    <row r="30" spans="1:17" x14ac:dyDescent="0.3">
      <c r="O30" s="1">
        <v>2.8</v>
      </c>
      <c r="P30" s="1">
        <f>+IF(O30&lt;$F$2,$B$7*$B$8*$B$9,$B$7*$B$8*$B$9*($F$2/O30)^$B$12)</f>
        <v>0.29680640000000003</v>
      </c>
      <c r="Q30" s="1">
        <f t="shared" si="0"/>
        <v>5.4964148148148151E-2</v>
      </c>
    </row>
    <row r="31" spans="1:17" x14ac:dyDescent="0.3">
      <c r="O31" s="1">
        <v>2.9</v>
      </c>
      <c r="P31" s="1">
        <f>+IF(O31&lt;$F$2,$B$7*$B$8*$B$9,$B$7*$B$8*$B$9*($F$2/O31)^$B$12)</f>
        <v>0.28657169655172415</v>
      </c>
      <c r="Q31" s="1">
        <f t="shared" si="0"/>
        <v>5.3068832694763729E-2</v>
      </c>
    </row>
    <row r="32" spans="1:17" x14ac:dyDescent="0.3">
      <c r="O32" s="1">
        <v>3</v>
      </c>
      <c r="P32" s="1">
        <f>+IF(O32&lt;$F$2,$B$7*$B$8*$B$9,$B$7*$B$8*$B$9*($F$2/O32)^$B$12)</f>
        <v>0.27701930666666663</v>
      </c>
      <c r="Q32" s="1">
        <f t="shared" si="0"/>
        <v>5.1299871604938263E-2</v>
      </c>
    </row>
  </sheetData>
  <mergeCells count="5">
    <mergeCell ref="A1:C1"/>
    <mergeCell ref="E1:G1"/>
    <mergeCell ref="F5:G5"/>
    <mergeCell ref="J1:L1"/>
    <mergeCell ref="K5:L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95B6-E07D-4443-AE6E-D7767D6C9E2C}">
  <dimension ref="A2:G42"/>
  <sheetViews>
    <sheetView topLeftCell="A13" zoomScale="110" zoomScaleNormal="110" workbookViewId="0">
      <selection activeCell="B29" sqref="B29"/>
    </sheetView>
  </sheetViews>
  <sheetFormatPr baseColWidth="10" defaultRowHeight="11.4" x14ac:dyDescent="0.2"/>
  <cols>
    <col min="1" max="1" width="51.88671875" style="37" customWidth="1"/>
    <col min="2" max="2" width="7.109375" style="43" customWidth="1"/>
    <col min="3" max="3" width="12.6640625" style="43" customWidth="1"/>
    <col min="4" max="4" width="8" style="43" customWidth="1"/>
    <col min="5" max="5" width="8.109375" style="43" customWidth="1"/>
    <col min="6" max="6" width="9" style="43" customWidth="1"/>
    <col min="7" max="256" width="11.5546875" style="37"/>
    <col min="257" max="257" width="51.88671875" style="37" customWidth="1"/>
    <col min="258" max="258" width="7.109375" style="37" customWidth="1"/>
    <col min="259" max="259" width="12.6640625" style="37" customWidth="1"/>
    <col min="260" max="260" width="8" style="37" customWidth="1"/>
    <col min="261" max="261" width="8.109375" style="37" customWidth="1"/>
    <col min="262" max="262" width="9" style="37" customWidth="1"/>
    <col min="263" max="512" width="11.5546875" style="37"/>
    <col min="513" max="513" width="51.88671875" style="37" customWidth="1"/>
    <col min="514" max="514" width="7.109375" style="37" customWidth="1"/>
    <col min="515" max="515" width="12.6640625" style="37" customWidth="1"/>
    <col min="516" max="516" width="8" style="37" customWidth="1"/>
    <col min="517" max="517" width="8.109375" style="37" customWidth="1"/>
    <col min="518" max="518" width="9" style="37" customWidth="1"/>
    <col min="519" max="768" width="11.5546875" style="37"/>
    <col min="769" max="769" width="51.88671875" style="37" customWidth="1"/>
    <col min="770" max="770" width="7.109375" style="37" customWidth="1"/>
    <col min="771" max="771" width="12.6640625" style="37" customWidth="1"/>
    <col min="772" max="772" width="8" style="37" customWidth="1"/>
    <col min="773" max="773" width="8.109375" style="37" customWidth="1"/>
    <col min="774" max="774" width="9" style="37" customWidth="1"/>
    <col min="775" max="1024" width="11.5546875" style="37"/>
    <col min="1025" max="1025" width="51.88671875" style="37" customWidth="1"/>
    <col min="1026" max="1026" width="7.109375" style="37" customWidth="1"/>
    <col min="1027" max="1027" width="12.6640625" style="37" customWidth="1"/>
    <col min="1028" max="1028" width="8" style="37" customWidth="1"/>
    <col min="1029" max="1029" width="8.109375" style="37" customWidth="1"/>
    <col min="1030" max="1030" width="9" style="37" customWidth="1"/>
    <col min="1031" max="1280" width="11.5546875" style="37"/>
    <col min="1281" max="1281" width="51.88671875" style="37" customWidth="1"/>
    <col min="1282" max="1282" width="7.109375" style="37" customWidth="1"/>
    <col min="1283" max="1283" width="12.6640625" style="37" customWidth="1"/>
    <col min="1284" max="1284" width="8" style="37" customWidth="1"/>
    <col min="1285" max="1285" width="8.109375" style="37" customWidth="1"/>
    <col min="1286" max="1286" width="9" style="37" customWidth="1"/>
    <col min="1287" max="1536" width="11.5546875" style="37"/>
    <col min="1537" max="1537" width="51.88671875" style="37" customWidth="1"/>
    <col min="1538" max="1538" width="7.109375" style="37" customWidth="1"/>
    <col min="1539" max="1539" width="12.6640625" style="37" customWidth="1"/>
    <col min="1540" max="1540" width="8" style="37" customWidth="1"/>
    <col min="1541" max="1541" width="8.109375" style="37" customWidth="1"/>
    <col min="1542" max="1542" width="9" style="37" customWidth="1"/>
    <col min="1543" max="1792" width="11.5546875" style="37"/>
    <col min="1793" max="1793" width="51.88671875" style="37" customWidth="1"/>
    <col min="1794" max="1794" width="7.109375" style="37" customWidth="1"/>
    <col min="1795" max="1795" width="12.6640625" style="37" customWidth="1"/>
    <col min="1796" max="1796" width="8" style="37" customWidth="1"/>
    <col min="1797" max="1797" width="8.109375" style="37" customWidth="1"/>
    <col min="1798" max="1798" width="9" style="37" customWidth="1"/>
    <col min="1799" max="2048" width="11.5546875" style="37"/>
    <col min="2049" max="2049" width="51.88671875" style="37" customWidth="1"/>
    <col min="2050" max="2050" width="7.109375" style="37" customWidth="1"/>
    <col min="2051" max="2051" width="12.6640625" style="37" customWidth="1"/>
    <col min="2052" max="2052" width="8" style="37" customWidth="1"/>
    <col min="2053" max="2053" width="8.109375" style="37" customWidth="1"/>
    <col min="2054" max="2054" width="9" style="37" customWidth="1"/>
    <col min="2055" max="2304" width="11.5546875" style="37"/>
    <col min="2305" max="2305" width="51.88671875" style="37" customWidth="1"/>
    <col min="2306" max="2306" width="7.109375" style="37" customWidth="1"/>
    <col min="2307" max="2307" width="12.6640625" style="37" customWidth="1"/>
    <col min="2308" max="2308" width="8" style="37" customWidth="1"/>
    <col min="2309" max="2309" width="8.109375" style="37" customWidth="1"/>
    <col min="2310" max="2310" width="9" style="37" customWidth="1"/>
    <col min="2311" max="2560" width="11.5546875" style="37"/>
    <col min="2561" max="2561" width="51.88671875" style="37" customWidth="1"/>
    <col min="2562" max="2562" width="7.109375" style="37" customWidth="1"/>
    <col min="2563" max="2563" width="12.6640625" style="37" customWidth="1"/>
    <col min="2564" max="2564" width="8" style="37" customWidth="1"/>
    <col min="2565" max="2565" width="8.109375" style="37" customWidth="1"/>
    <col min="2566" max="2566" width="9" style="37" customWidth="1"/>
    <col min="2567" max="2816" width="11.5546875" style="37"/>
    <col min="2817" max="2817" width="51.88671875" style="37" customWidth="1"/>
    <col min="2818" max="2818" width="7.109375" style="37" customWidth="1"/>
    <col min="2819" max="2819" width="12.6640625" style="37" customWidth="1"/>
    <col min="2820" max="2820" width="8" style="37" customWidth="1"/>
    <col min="2821" max="2821" width="8.109375" style="37" customWidth="1"/>
    <col min="2822" max="2822" width="9" style="37" customWidth="1"/>
    <col min="2823" max="3072" width="11.5546875" style="37"/>
    <col min="3073" max="3073" width="51.88671875" style="37" customWidth="1"/>
    <col min="3074" max="3074" width="7.109375" style="37" customWidth="1"/>
    <col min="3075" max="3075" width="12.6640625" style="37" customWidth="1"/>
    <col min="3076" max="3076" width="8" style="37" customWidth="1"/>
    <col min="3077" max="3077" width="8.109375" style="37" customWidth="1"/>
    <col min="3078" max="3078" width="9" style="37" customWidth="1"/>
    <col min="3079" max="3328" width="11.5546875" style="37"/>
    <col min="3329" max="3329" width="51.88671875" style="37" customWidth="1"/>
    <col min="3330" max="3330" width="7.109375" style="37" customWidth="1"/>
    <col min="3331" max="3331" width="12.6640625" style="37" customWidth="1"/>
    <col min="3332" max="3332" width="8" style="37" customWidth="1"/>
    <col min="3333" max="3333" width="8.109375" style="37" customWidth="1"/>
    <col min="3334" max="3334" width="9" style="37" customWidth="1"/>
    <col min="3335" max="3584" width="11.5546875" style="37"/>
    <col min="3585" max="3585" width="51.88671875" style="37" customWidth="1"/>
    <col min="3586" max="3586" width="7.109375" style="37" customWidth="1"/>
    <col min="3587" max="3587" width="12.6640625" style="37" customWidth="1"/>
    <col min="3588" max="3588" width="8" style="37" customWidth="1"/>
    <col min="3589" max="3589" width="8.109375" style="37" customWidth="1"/>
    <col min="3590" max="3590" width="9" style="37" customWidth="1"/>
    <col min="3591" max="3840" width="11.5546875" style="37"/>
    <col min="3841" max="3841" width="51.88671875" style="37" customWidth="1"/>
    <col min="3842" max="3842" width="7.109375" style="37" customWidth="1"/>
    <col min="3843" max="3843" width="12.6640625" style="37" customWidth="1"/>
    <col min="3844" max="3844" width="8" style="37" customWidth="1"/>
    <col min="3845" max="3845" width="8.109375" style="37" customWidth="1"/>
    <col min="3846" max="3846" width="9" style="37" customWidth="1"/>
    <col min="3847" max="4096" width="11.5546875" style="37"/>
    <col min="4097" max="4097" width="51.88671875" style="37" customWidth="1"/>
    <col min="4098" max="4098" width="7.109375" style="37" customWidth="1"/>
    <col min="4099" max="4099" width="12.6640625" style="37" customWidth="1"/>
    <col min="4100" max="4100" width="8" style="37" customWidth="1"/>
    <col min="4101" max="4101" width="8.109375" style="37" customWidth="1"/>
    <col min="4102" max="4102" width="9" style="37" customWidth="1"/>
    <col min="4103" max="4352" width="11.5546875" style="37"/>
    <col min="4353" max="4353" width="51.88671875" style="37" customWidth="1"/>
    <col min="4354" max="4354" width="7.109375" style="37" customWidth="1"/>
    <col min="4355" max="4355" width="12.6640625" style="37" customWidth="1"/>
    <col min="4356" max="4356" width="8" style="37" customWidth="1"/>
    <col min="4357" max="4357" width="8.109375" style="37" customWidth="1"/>
    <col min="4358" max="4358" width="9" style="37" customWidth="1"/>
    <col min="4359" max="4608" width="11.5546875" style="37"/>
    <col min="4609" max="4609" width="51.88671875" style="37" customWidth="1"/>
    <col min="4610" max="4610" width="7.109375" style="37" customWidth="1"/>
    <col min="4611" max="4611" width="12.6640625" style="37" customWidth="1"/>
    <col min="4612" max="4612" width="8" style="37" customWidth="1"/>
    <col min="4613" max="4613" width="8.109375" style="37" customWidth="1"/>
    <col min="4614" max="4614" width="9" style="37" customWidth="1"/>
    <col min="4615" max="4864" width="11.5546875" style="37"/>
    <col min="4865" max="4865" width="51.88671875" style="37" customWidth="1"/>
    <col min="4866" max="4866" width="7.109375" style="37" customWidth="1"/>
    <col min="4867" max="4867" width="12.6640625" style="37" customWidth="1"/>
    <col min="4868" max="4868" width="8" style="37" customWidth="1"/>
    <col min="4869" max="4869" width="8.109375" style="37" customWidth="1"/>
    <col min="4870" max="4870" width="9" style="37" customWidth="1"/>
    <col min="4871" max="5120" width="11.5546875" style="37"/>
    <col min="5121" max="5121" width="51.88671875" style="37" customWidth="1"/>
    <col min="5122" max="5122" width="7.109375" style="37" customWidth="1"/>
    <col min="5123" max="5123" width="12.6640625" style="37" customWidth="1"/>
    <col min="5124" max="5124" width="8" style="37" customWidth="1"/>
    <col min="5125" max="5125" width="8.109375" style="37" customWidth="1"/>
    <col min="5126" max="5126" width="9" style="37" customWidth="1"/>
    <col min="5127" max="5376" width="11.5546875" style="37"/>
    <col min="5377" max="5377" width="51.88671875" style="37" customWidth="1"/>
    <col min="5378" max="5378" width="7.109375" style="37" customWidth="1"/>
    <col min="5379" max="5379" width="12.6640625" style="37" customWidth="1"/>
    <col min="5380" max="5380" width="8" style="37" customWidth="1"/>
    <col min="5381" max="5381" width="8.109375" style="37" customWidth="1"/>
    <col min="5382" max="5382" width="9" style="37" customWidth="1"/>
    <col min="5383" max="5632" width="11.5546875" style="37"/>
    <col min="5633" max="5633" width="51.88671875" style="37" customWidth="1"/>
    <col min="5634" max="5634" width="7.109375" style="37" customWidth="1"/>
    <col min="5635" max="5635" width="12.6640625" style="37" customWidth="1"/>
    <col min="5636" max="5636" width="8" style="37" customWidth="1"/>
    <col min="5637" max="5637" width="8.109375" style="37" customWidth="1"/>
    <col min="5638" max="5638" width="9" style="37" customWidth="1"/>
    <col min="5639" max="5888" width="11.5546875" style="37"/>
    <col min="5889" max="5889" width="51.88671875" style="37" customWidth="1"/>
    <col min="5890" max="5890" width="7.109375" style="37" customWidth="1"/>
    <col min="5891" max="5891" width="12.6640625" style="37" customWidth="1"/>
    <col min="5892" max="5892" width="8" style="37" customWidth="1"/>
    <col min="5893" max="5893" width="8.109375" style="37" customWidth="1"/>
    <col min="5894" max="5894" width="9" style="37" customWidth="1"/>
    <col min="5895" max="6144" width="11.5546875" style="37"/>
    <col min="6145" max="6145" width="51.88671875" style="37" customWidth="1"/>
    <col min="6146" max="6146" width="7.109375" style="37" customWidth="1"/>
    <col min="6147" max="6147" width="12.6640625" style="37" customWidth="1"/>
    <col min="6148" max="6148" width="8" style="37" customWidth="1"/>
    <col min="6149" max="6149" width="8.109375" style="37" customWidth="1"/>
    <col min="6150" max="6150" width="9" style="37" customWidth="1"/>
    <col min="6151" max="6400" width="11.5546875" style="37"/>
    <col min="6401" max="6401" width="51.88671875" style="37" customWidth="1"/>
    <col min="6402" max="6402" width="7.109375" style="37" customWidth="1"/>
    <col min="6403" max="6403" width="12.6640625" style="37" customWidth="1"/>
    <col min="6404" max="6404" width="8" style="37" customWidth="1"/>
    <col min="6405" max="6405" width="8.109375" style="37" customWidth="1"/>
    <col min="6406" max="6406" width="9" style="37" customWidth="1"/>
    <col min="6407" max="6656" width="11.5546875" style="37"/>
    <col min="6657" max="6657" width="51.88671875" style="37" customWidth="1"/>
    <col min="6658" max="6658" width="7.109375" style="37" customWidth="1"/>
    <col min="6659" max="6659" width="12.6640625" style="37" customWidth="1"/>
    <col min="6660" max="6660" width="8" style="37" customWidth="1"/>
    <col min="6661" max="6661" width="8.109375" style="37" customWidth="1"/>
    <col min="6662" max="6662" width="9" style="37" customWidth="1"/>
    <col min="6663" max="6912" width="11.5546875" style="37"/>
    <col min="6913" max="6913" width="51.88671875" style="37" customWidth="1"/>
    <col min="6914" max="6914" width="7.109375" style="37" customWidth="1"/>
    <col min="6915" max="6915" width="12.6640625" style="37" customWidth="1"/>
    <col min="6916" max="6916" width="8" style="37" customWidth="1"/>
    <col min="6917" max="6917" width="8.109375" style="37" customWidth="1"/>
    <col min="6918" max="6918" width="9" style="37" customWidth="1"/>
    <col min="6919" max="7168" width="11.5546875" style="37"/>
    <col min="7169" max="7169" width="51.88671875" style="37" customWidth="1"/>
    <col min="7170" max="7170" width="7.109375" style="37" customWidth="1"/>
    <col min="7171" max="7171" width="12.6640625" style="37" customWidth="1"/>
    <col min="7172" max="7172" width="8" style="37" customWidth="1"/>
    <col min="7173" max="7173" width="8.109375" style="37" customWidth="1"/>
    <col min="7174" max="7174" width="9" style="37" customWidth="1"/>
    <col min="7175" max="7424" width="11.5546875" style="37"/>
    <col min="7425" max="7425" width="51.88671875" style="37" customWidth="1"/>
    <col min="7426" max="7426" width="7.109375" style="37" customWidth="1"/>
    <col min="7427" max="7427" width="12.6640625" style="37" customWidth="1"/>
    <col min="7428" max="7428" width="8" style="37" customWidth="1"/>
    <col min="7429" max="7429" width="8.109375" style="37" customWidth="1"/>
    <col min="7430" max="7430" width="9" style="37" customWidth="1"/>
    <col min="7431" max="7680" width="11.5546875" style="37"/>
    <col min="7681" max="7681" width="51.88671875" style="37" customWidth="1"/>
    <col min="7682" max="7682" width="7.109375" style="37" customWidth="1"/>
    <col min="7683" max="7683" width="12.6640625" style="37" customWidth="1"/>
    <col min="7684" max="7684" width="8" style="37" customWidth="1"/>
    <col min="7685" max="7685" width="8.109375" style="37" customWidth="1"/>
    <col min="7686" max="7686" width="9" style="37" customWidth="1"/>
    <col min="7687" max="7936" width="11.5546875" style="37"/>
    <col min="7937" max="7937" width="51.88671875" style="37" customWidth="1"/>
    <col min="7938" max="7938" width="7.109375" style="37" customWidth="1"/>
    <col min="7939" max="7939" width="12.6640625" style="37" customWidth="1"/>
    <col min="7940" max="7940" width="8" style="37" customWidth="1"/>
    <col min="7941" max="7941" width="8.109375" style="37" customWidth="1"/>
    <col min="7942" max="7942" width="9" style="37" customWidth="1"/>
    <col min="7943" max="8192" width="11.5546875" style="37"/>
    <col min="8193" max="8193" width="51.88671875" style="37" customWidth="1"/>
    <col min="8194" max="8194" width="7.109375" style="37" customWidth="1"/>
    <col min="8195" max="8195" width="12.6640625" style="37" customWidth="1"/>
    <col min="8196" max="8196" width="8" style="37" customWidth="1"/>
    <col min="8197" max="8197" width="8.109375" style="37" customWidth="1"/>
    <col min="8198" max="8198" width="9" style="37" customWidth="1"/>
    <col min="8199" max="8448" width="11.5546875" style="37"/>
    <col min="8449" max="8449" width="51.88671875" style="37" customWidth="1"/>
    <col min="8450" max="8450" width="7.109375" style="37" customWidth="1"/>
    <col min="8451" max="8451" width="12.6640625" style="37" customWidth="1"/>
    <col min="8452" max="8452" width="8" style="37" customWidth="1"/>
    <col min="8453" max="8453" width="8.109375" style="37" customWidth="1"/>
    <col min="8454" max="8454" width="9" style="37" customWidth="1"/>
    <col min="8455" max="8704" width="11.5546875" style="37"/>
    <col min="8705" max="8705" width="51.88671875" style="37" customWidth="1"/>
    <col min="8706" max="8706" width="7.109375" style="37" customWidth="1"/>
    <col min="8707" max="8707" width="12.6640625" style="37" customWidth="1"/>
    <col min="8708" max="8708" width="8" style="37" customWidth="1"/>
    <col min="8709" max="8709" width="8.109375" style="37" customWidth="1"/>
    <col min="8710" max="8710" width="9" style="37" customWidth="1"/>
    <col min="8711" max="8960" width="11.5546875" style="37"/>
    <col min="8961" max="8961" width="51.88671875" style="37" customWidth="1"/>
    <col min="8962" max="8962" width="7.109375" style="37" customWidth="1"/>
    <col min="8963" max="8963" width="12.6640625" style="37" customWidth="1"/>
    <col min="8964" max="8964" width="8" style="37" customWidth="1"/>
    <col min="8965" max="8965" width="8.109375" style="37" customWidth="1"/>
    <col min="8966" max="8966" width="9" style="37" customWidth="1"/>
    <col min="8967" max="9216" width="11.5546875" style="37"/>
    <col min="9217" max="9217" width="51.88671875" style="37" customWidth="1"/>
    <col min="9218" max="9218" width="7.109375" style="37" customWidth="1"/>
    <col min="9219" max="9219" width="12.6640625" style="37" customWidth="1"/>
    <col min="9220" max="9220" width="8" style="37" customWidth="1"/>
    <col min="9221" max="9221" width="8.109375" style="37" customWidth="1"/>
    <col min="9222" max="9222" width="9" style="37" customWidth="1"/>
    <col min="9223" max="9472" width="11.5546875" style="37"/>
    <col min="9473" max="9473" width="51.88671875" style="37" customWidth="1"/>
    <col min="9474" max="9474" width="7.109375" style="37" customWidth="1"/>
    <col min="9475" max="9475" width="12.6640625" style="37" customWidth="1"/>
    <col min="9476" max="9476" width="8" style="37" customWidth="1"/>
    <col min="9477" max="9477" width="8.109375" style="37" customWidth="1"/>
    <col min="9478" max="9478" width="9" style="37" customWidth="1"/>
    <col min="9479" max="9728" width="11.5546875" style="37"/>
    <col min="9729" max="9729" width="51.88671875" style="37" customWidth="1"/>
    <col min="9730" max="9730" width="7.109375" style="37" customWidth="1"/>
    <col min="9731" max="9731" width="12.6640625" style="37" customWidth="1"/>
    <col min="9732" max="9732" width="8" style="37" customWidth="1"/>
    <col min="9733" max="9733" width="8.109375" style="37" customWidth="1"/>
    <col min="9734" max="9734" width="9" style="37" customWidth="1"/>
    <col min="9735" max="9984" width="11.5546875" style="37"/>
    <col min="9985" max="9985" width="51.88671875" style="37" customWidth="1"/>
    <col min="9986" max="9986" width="7.109375" style="37" customWidth="1"/>
    <col min="9987" max="9987" width="12.6640625" style="37" customWidth="1"/>
    <col min="9988" max="9988" width="8" style="37" customWidth="1"/>
    <col min="9989" max="9989" width="8.109375" style="37" customWidth="1"/>
    <col min="9990" max="9990" width="9" style="37" customWidth="1"/>
    <col min="9991" max="10240" width="11.5546875" style="37"/>
    <col min="10241" max="10241" width="51.88671875" style="37" customWidth="1"/>
    <col min="10242" max="10242" width="7.109375" style="37" customWidth="1"/>
    <col min="10243" max="10243" width="12.6640625" style="37" customWidth="1"/>
    <col min="10244" max="10244" width="8" style="37" customWidth="1"/>
    <col min="10245" max="10245" width="8.109375" style="37" customWidth="1"/>
    <col min="10246" max="10246" width="9" style="37" customWidth="1"/>
    <col min="10247" max="10496" width="11.5546875" style="37"/>
    <col min="10497" max="10497" width="51.88671875" style="37" customWidth="1"/>
    <col min="10498" max="10498" width="7.109375" style="37" customWidth="1"/>
    <col min="10499" max="10499" width="12.6640625" style="37" customWidth="1"/>
    <col min="10500" max="10500" width="8" style="37" customWidth="1"/>
    <col min="10501" max="10501" width="8.109375" style="37" customWidth="1"/>
    <col min="10502" max="10502" width="9" style="37" customWidth="1"/>
    <col min="10503" max="10752" width="11.5546875" style="37"/>
    <col min="10753" max="10753" width="51.88671875" style="37" customWidth="1"/>
    <col min="10754" max="10754" width="7.109375" style="37" customWidth="1"/>
    <col min="10755" max="10755" width="12.6640625" style="37" customWidth="1"/>
    <col min="10756" max="10756" width="8" style="37" customWidth="1"/>
    <col min="10757" max="10757" width="8.109375" style="37" customWidth="1"/>
    <col min="10758" max="10758" width="9" style="37" customWidth="1"/>
    <col min="10759" max="11008" width="11.5546875" style="37"/>
    <col min="11009" max="11009" width="51.88671875" style="37" customWidth="1"/>
    <col min="11010" max="11010" width="7.109375" style="37" customWidth="1"/>
    <col min="11011" max="11011" width="12.6640625" style="37" customWidth="1"/>
    <col min="11012" max="11012" width="8" style="37" customWidth="1"/>
    <col min="11013" max="11013" width="8.109375" style="37" customWidth="1"/>
    <col min="11014" max="11014" width="9" style="37" customWidth="1"/>
    <col min="11015" max="11264" width="11.5546875" style="37"/>
    <col min="11265" max="11265" width="51.88671875" style="37" customWidth="1"/>
    <col min="11266" max="11266" width="7.109375" style="37" customWidth="1"/>
    <col min="11267" max="11267" width="12.6640625" style="37" customWidth="1"/>
    <col min="11268" max="11268" width="8" style="37" customWidth="1"/>
    <col min="11269" max="11269" width="8.109375" style="37" customWidth="1"/>
    <col min="11270" max="11270" width="9" style="37" customWidth="1"/>
    <col min="11271" max="11520" width="11.5546875" style="37"/>
    <col min="11521" max="11521" width="51.88671875" style="37" customWidth="1"/>
    <col min="11522" max="11522" width="7.109375" style="37" customWidth="1"/>
    <col min="11523" max="11523" width="12.6640625" style="37" customWidth="1"/>
    <col min="11524" max="11524" width="8" style="37" customWidth="1"/>
    <col min="11525" max="11525" width="8.109375" style="37" customWidth="1"/>
    <col min="11526" max="11526" width="9" style="37" customWidth="1"/>
    <col min="11527" max="11776" width="11.5546875" style="37"/>
    <col min="11777" max="11777" width="51.88671875" style="37" customWidth="1"/>
    <col min="11778" max="11778" width="7.109375" style="37" customWidth="1"/>
    <col min="11779" max="11779" width="12.6640625" style="37" customWidth="1"/>
    <col min="11780" max="11780" width="8" style="37" customWidth="1"/>
    <col min="11781" max="11781" width="8.109375" style="37" customWidth="1"/>
    <col min="11782" max="11782" width="9" style="37" customWidth="1"/>
    <col min="11783" max="12032" width="11.5546875" style="37"/>
    <col min="12033" max="12033" width="51.88671875" style="37" customWidth="1"/>
    <col min="12034" max="12034" width="7.109375" style="37" customWidth="1"/>
    <col min="12035" max="12035" width="12.6640625" style="37" customWidth="1"/>
    <col min="12036" max="12036" width="8" style="37" customWidth="1"/>
    <col min="12037" max="12037" width="8.109375" style="37" customWidth="1"/>
    <col min="12038" max="12038" width="9" style="37" customWidth="1"/>
    <col min="12039" max="12288" width="11.5546875" style="37"/>
    <col min="12289" max="12289" width="51.88671875" style="37" customWidth="1"/>
    <col min="12290" max="12290" width="7.109375" style="37" customWidth="1"/>
    <col min="12291" max="12291" width="12.6640625" style="37" customWidth="1"/>
    <col min="12292" max="12292" width="8" style="37" customWidth="1"/>
    <col min="12293" max="12293" width="8.109375" style="37" customWidth="1"/>
    <col min="12294" max="12294" width="9" style="37" customWidth="1"/>
    <col min="12295" max="12544" width="11.5546875" style="37"/>
    <col min="12545" max="12545" width="51.88671875" style="37" customWidth="1"/>
    <col min="12546" max="12546" width="7.109375" style="37" customWidth="1"/>
    <col min="12547" max="12547" width="12.6640625" style="37" customWidth="1"/>
    <col min="12548" max="12548" width="8" style="37" customWidth="1"/>
    <col min="12549" max="12549" width="8.109375" style="37" customWidth="1"/>
    <col min="12550" max="12550" width="9" style="37" customWidth="1"/>
    <col min="12551" max="12800" width="11.5546875" style="37"/>
    <col min="12801" max="12801" width="51.88671875" style="37" customWidth="1"/>
    <col min="12802" max="12802" width="7.109375" style="37" customWidth="1"/>
    <col min="12803" max="12803" width="12.6640625" style="37" customWidth="1"/>
    <col min="12804" max="12804" width="8" style="37" customWidth="1"/>
    <col min="12805" max="12805" width="8.109375" style="37" customWidth="1"/>
    <col min="12806" max="12806" width="9" style="37" customWidth="1"/>
    <col min="12807" max="13056" width="11.5546875" style="37"/>
    <col min="13057" max="13057" width="51.88671875" style="37" customWidth="1"/>
    <col min="13058" max="13058" width="7.109375" style="37" customWidth="1"/>
    <col min="13059" max="13059" width="12.6640625" style="37" customWidth="1"/>
    <col min="13060" max="13060" width="8" style="37" customWidth="1"/>
    <col min="13061" max="13061" width="8.109375" style="37" customWidth="1"/>
    <col min="13062" max="13062" width="9" style="37" customWidth="1"/>
    <col min="13063" max="13312" width="11.5546875" style="37"/>
    <col min="13313" max="13313" width="51.88671875" style="37" customWidth="1"/>
    <col min="13314" max="13314" width="7.109375" style="37" customWidth="1"/>
    <col min="13315" max="13315" width="12.6640625" style="37" customWidth="1"/>
    <col min="13316" max="13316" width="8" style="37" customWidth="1"/>
    <col min="13317" max="13317" width="8.109375" style="37" customWidth="1"/>
    <col min="13318" max="13318" width="9" style="37" customWidth="1"/>
    <col min="13319" max="13568" width="11.5546875" style="37"/>
    <col min="13569" max="13569" width="51.88671875" style="37" customWidth="1"/>
    <col min="13570" max="13570" width="7.109375" style="37" customWidth="1"/>
    <col min="13571" max="13571" width="12.6640625" style="37" customWidth="1"/>
    <col min="13572" max="13572" width="8" style="37" customWidth="1"/>
    <col min="13573" max="13573" width="8.109375" style="37" customWidth="1"/>
    <col min="13574" max="13574" width="9" style="37" customWidth="1"/>
    <col min="13575" max="13824" width="11.5546875" style="37"/>
    <col min="13825" max="13825" width="51.88671875" style="37" customWidth="1"/>
    <col min="13826" max="13826" width="7.109375" style="37" customWidth="1"/>
    <col min="13827" max="13827" width="12.6640625" style="37" customWidth="1"/>
    <col min="13828" max="13828" width="8" style="37" customWidth="1"/>
    <col min="13829" max="13829" width="8.109375" style="37" customWidth="1"/>
    <col min="13830" max="13830" width="9" style="37" customWidth="1"/>
    <col min="13831" max="14080" width="11.5546875" style="37"/>
    <col min="14081" max="14081" width="51.88671875" style="37" customWidth="1"/>
    <col min="14082" max="14082" width="7.109375" style="37" customWidth="1"/>
    <col min="14083" max="14083" width="12.6640625" style="37" customWidth="1"/>
    <col min="14084" max="14084" width="8" style="37" customWidth="1"/>
    <col min="14085" max="14085" width="8.109375" style="37" customWidth="1"/>
    <col min="14086" max="14086" width="9" style="37" customWidth="1"/>
    <col min="14087" max="14336" width="11.5546875" style="37"/>
    <col min="14337" max="14337" width="51.88671875" style="37" customWidth="1"/>
    <col min="14338" max="14338" width="7.109375" style="37" customWidth="1"/>
    <col min="14339" max="14339" width="12.6640625" style="37" customWidth="1"/>
    <col min="14340" max="14340" width="8" style="37" customWidth="1"/>
    <col min="14341" max="14341" width="8.109375" style="37" customWidth="1"/>
    <col min="14342" max="14342" width="9" style="37" customWidth="1"/>
    <col min="14343" max="14592" width="11.5546875" style="37"/>
    <col min="14593" max="14593" width="51.88671875" style="37" customWidth="1"/>
    <col min="14594" max="14594" width="7.109375" style="37" customWidth="1"/>
    <col min="14595" max="14595" width="12.6640625" style="37" customWidth="1"/>
    <col min="14596" max="14596" width="8" style="37" customWidth="1"/>
    <col min="14597" max="14597" width="8.109375" style="37" customWidth="1"/>
    <col min="14598" max="14598" width="9" style="37" customWidth="1"/>
    <col min="14599" max="14848" width="11.5546875" style="37"/>
    <col min="14849" max="14849" width="51.88671875" style="37" customWidth="1"/>
    <col min="14850" max="14850" width="7.109375" style="37" customWidth="1"/>
    <col min="14851" max="14851" width="12.6640625" style="37" customWidth="1"/>
    <col min="14852" max="14852" width="8" style="37" customWidth="1"/>
    <col min="14853" max="14853" width="8.109375" style="37" customWidth="1"/>
    <col min="14854" max="14854" width="9" style="37" customWidth="1"/>
    <col min="14855" max="15104" width="11.5546875" style="37"/>
    <col min="15105" max="15105" width="51.88671875" style="37" customWidth="1"/>
    <col min="15106" max="15106" width="7.109375" style="37" customWidth="1"/>
    <col min="15107" max="15107" width="12.6640625" style="37" customWidth="1"/>
    <col min="15108" max="15108" width="8" style="37" customWidth="1"/>
    <col min="15109" max="15109" width="8.109375" style="37" customWidth="1"/>
    <col min="15110" max="15110" width="9" style="37" customWidth="1"/>
    <col min="15111" max="15360" width="11.5546875" style="37"/>
    <col min="15361" max="15361" width="51.88671875" style="37" customWidth="1"/>
    <col min="15362" max="15362" width="7.109375" style="37" customWidth="1"/>
    <col min="15363" max="15363" width="12.6640625" style="37" customWidth="1"/>
    <col min="15364" max="15364" width="8" style="37" customWidth="1"/>
    <col min="15365" max="15365" width="8.109375" style="37" customWidth="1"/>
    <col min="15366" max="15366" width="9" style="37" customWidth="1"/>
    <col min="15367" max="15616" width="11.5546875" style="37"/>
    <col min="15617" max="15617" width="51.88671875" style="37" customWidth="1"/>
    <col min="15618" max="15618" width="7.109375" style="37" customWidth="1"/>
    <col min="15619" max="15619" width="12.6640625" style="37" customWidth="1"/>
    <col min="15620" max="15620" width="8" style="37" customWidth="1"/>
    <col min="15621" max="15621" width="8.109375" style="37" customWidth="1"/>
    <col min="15622" max="15622" width="9" style="37" customWidth="1"/>
    <col min="15623" max="15872" width="11.5546875" style="37"/>
    <col min="15873" max="15873" width="51.88671875" style="37" customWidth="1"/>
    <col min="15874" max="15874" width="7.109375" style="37" customWidth="1"/>
    <col min="15875" max="15875" width="12.6640625" style="37" customWidth="1"/>
    <col min="15876" max="15876" width="8" style="37" customWidth="1"/>
    <col min="15877" max="15877" width="8.109375" style="37" customWidth="1"/>
    <col min="15878" max="15878" width="9" style="37" customWidth="1"/>
    <col min="15879" max="16128" width="11.5546875" style="37"/>
    <col min="16129" max="16129" width="51.88671875" style="37" customWidth="1"/>
    <col min="16130" max="16130" width="7.109375" style="37" customWidth="1"/>
    <col min="16131" max="16131" width="12.6640625" style="37" customWidth="1"/>
    <col min="16132" max="16132" width="8" style="37" customWidth="1"/>
    <col min="16133" max="16133" width="8.109375" style="37" customWidth="1"/>
    <col min="16134" max="16134" width="9" style="37" customWidth="1"/>
    <col min="16135" max="16384" width="11.5546875" style="37"/>
  </cols>
  <sheetData>
    <row r="2" spans="1:6" ht="12" x14ac:dyDescent="0.25">
      <c r="A2" s="82" t="s">
        <v>200</v>
      </c>
      <c r="B2" s="82"/>
      <c r="C2" s="82"/>
      <c r="D2" s="36" t="s">
        <v>174</v>
      </c>
      <c r="E2" s="36" t="s">
        <v>175</v>
      </c>
      <c r="F2" s="36" t="s">
        <v>201</v>
      </c>
    </row>
    <row r="3" spans="1:6" x14ac:dyDescent="0.2">
      <c r="A3" s="38" t="s">
        <v>202</v>
      </c>
      <c r="B3" s="39" t="s">
        <v>203</v>
      </c>
      <c r="C3" s="39" t="s">
        <v>204</v>
      </c>
      <c r="D3" s="39">
        <v>0</v>
      </c>
      <c r="E3" s="40">
        <f>+IF(D3&lt;$B$11,$B$9*$B$4*$B$6,$B$9*$B$4*$B$6*($B$11/D3)^$B$10)</f>
        <v>1.1903999999999999</v>
      </c>
      <c r="F3" s="41">
        <f>+$B$18*E3/$B$16/$B$17/$B$15</f>
        <v>0.22044444444444442</v>
      </c>
    </row>
    <row r="4" spans="1:6" x14ac:dyDescent="0.2">
      <c r="A4" s="38" t="s">
        <v>205</v>
      </c>
      <c r="B4" s="39">
        <v>0.4</v>
      </c>
      <c r="C4" s="39" t="s">
        <v>204</v>
      </c>
      <c r="D4" s="39">
        <v>0.1</v>
      </c>
      <c r="E4" s="40">
        <f t="shared" ref="E4:E33" si="0">+IF(D4&lt;$B$11,$B$9*$B$4*$B$6,$B$9*$B$4*$B$6*($B$11/D4)^$B$10)</f>
        <v>1.1903999999999999</v>
      </c>
      <c r="F4" s="41">
        <f t="shared" ref="F4:F33" si="1">+$B$18*E4/$B$16/$B$17/$B$15</f>
        <v>0.22044444444444442</v>
      </c>
    </row>
    <row r="5" spans="1:6" x14ac:dyDescent="0.2">
      <c r="A5" s="38" t="s">
        <v>206</v>
      </c>
      <c r="B5" s="39" t="s">
        <v>207</v>
      </c>
      <c r="C5" s="39" t="s">
        <v>208</v>
      </c>
      <c r="D5" s="39">
        <v>0.2</v>
      </c>
      <c r="E5" s="40">
        <f t="shared" si="0"/>
        <v>1.1903999999999999</v>
      </c>
      <c r="F5" s="41">
        <f t="shared" si="1"/>
        <v>0.22044444444444442</v>
      </c>
    </row>
    <row r="6" spans="1:6" ht="12" x14ac:dyDescent="0.2">
      <c r="A6" s="42" t="s">
        <v>209</v>
      </c>
      <c r="B6" s="40">
        <v>1.2</v>
      </c>
      <c r="C6" s="39" t="s">
        <v>210</v>
      </c>
      <c r="D6" s="39">
        <v>0.3</v>
      </c>
      <c r="E6" s="40">
        <f t="shared" si="0"/>
        <v>1.1903999999999999</v>
      </c>
      <c r="F6" s="41">
        <f t="shared" si="1"/>
        <v>0.22044444444444442</v>
      </c>
    </row>
    <row r="7" spans="1:6" ht="23.4" x14ac:dyDescent="0.2">
      <c r="A7" s="42" t="s">
        <v>211</v>
      </c>
      <c r="B7" s="46">
        <v>1.19</v>
      </c>
      <c r="C7" s="39" t="s">
        <v>212</v>
      </c>
      <c r="D7" s="39">
        <v>0.4</v>
      </c>
      <c r="E7" s="40">
        <f t="shared" si="0"/>
        <v>1.1903999999999999</v>
      </c>
      <c r="F7" s="41">
        <f t="shared" si="1"/>
        <v>0.22044444444444442</v>
      </c>
    </row>
    <row r="8" spans="1:6" ht="12" x14ac:dyDescent="0.25">
      <c r="A8" s="38" t="s">
        <v>213</v>
      </c>
      <c r="B8" s="39">
        <v>1.28</v>
      </c>
      <c r="C8" s="39" t="s">
        <v>214</v>
      </c>
      <c r="D8" s="39">
        <v>0.5</v>
      </c>
      <c r="E8" s="40">
        <f t="shared" si="0"/>
        <v>1.1903999999999999</v>
      </c>
      <c r="F8" s="41">
        <f t="shared" si="1"/>
        <v>0.22044444444444442</v>
      </c>
    </row>
    <row r="9" spans="1:6" ht="12" x14ac:dyDescent="0.25">
      <c r="A9" s="38" t="s">
        <v>215</v>
      </c>
      <c r="B9" s="39">
        <v>2.48</v>
      </c>
      <c r="C9" s="39" t="s">
        <v>216</v>
      </c>
      <c r="D9" s="39">
        <v>0.6</v>
      </c>
      <c r="E9" s="40">
        <f t="shared" si="0"/>
        <v>1.1903999999999999</v>
      </c>
      <c r="F9" s="41">
        <f t="shared" si="1"/>
        <v>0.22044444444444442</v>
      </c>
    </row>
    <row r="10" spans="1:6" ht="12" x14ac:dyDescent="0.25">
      <c r="A10" s="38" t="s">
        <v>217</v>
      </c>
      <c r="B10" s="40">
        <v>1</v>
      </c>
      <c r="C10" s="39" t="s">
        <v>216</v>
      </c>
      <c r="D10" s="39">
        <v>0.7</v>
      </c>
      <c r="E10" s="40">
        <f t="shared" si="0"/>
        <v>1.1872256000000001</v>
      </c>
      <c r="F10" s="41">
        <f t="shared" si="1"/>
        <v>0.2198565925925926</v>
      </c>
    </row>
    <row r="11" spans="1:6" ht="12" x14ac:dyDescent="0.25">
      <c r="A11" s="38" t="s">
        <v>218</v>
      </c>
      <c r="B11" s="40">
        <f>0.55*B8*B7/B6</f>
        <v>0.69813333333333338</v>
      </c>
      <c r="C11" s="39" t="s">
        <v>216</v>
      </c>
      <c r="D11" s="39">
        <v>0.8</v>
      </c>
      <c r="E11" s="40">
        <f t="shared" si="0"/>
        <v>1.0388223999999999</v>
      </c>
      <c r="F11" s="41">
        <f t="shared" si="1"/>
        <v>0.1923745185185185</v>
      </c>
    </row>
    <row r="12" spans="1:6" x14ac:dyDescent="0.2">
      <c r="D12" s="39">
        <v>0.9</v>
      </c>
      <c r="E12" s="40">
        <f t="shared" si="0"/>
        <v>0.92339768888888896</v>
      </c>
      <c r="F12" s="41">
        <f t="shared" si="1"/>
        <v>0.1709995720164609</v>
      </c>
    </row>
    <row r="13" spans="1:6" x14ac:dyDescent="0.2">
      <c r="D13" s="39">
        <v>1</v>
      </c>
      <c r="E13" s="40">
        <f t="shared" si="0"/>
        <v>0.83105792000000001</v>
      </c>
      <c r="F13" s="41">
        <f t="shared" si="1"/>
        <v>0.15389961481481482</v>
      </c>
    </row>
    <row r="14" spans="1:6" ht="12" x14ac:dyDescent="0.25">
      <c r="A14" s="82" t="s">
        <v>219</v>
      </c>
      <c r="B14" s="82"/>
      <c r="C14" s="82"/>
      <c r="D14" s="39">
        <v>1.1000000000000001</v>
      </c>
      <c r="E14" s="40">
        <f t="shared" si="0"/>
        <v>0.75550720000000005</v>
      </c>
      <c r="F14" s="41">
        <f t="shared" si="1"/>
        <v>0.13990874074074075</v>
      </c>
    </row>
    <row r="15" spans="1:6" ht="12" x14ac:dyDescent="0.25">
      <c r="A15" s="38" t="s">
        <v>220</v>
      </c>
      <c r="B15" s="39">
        <v>6</v>
      </c>
      <c r="C15" s="39" t="s">
        <v>221</v>
      </c>
      <c r="D15" s="39">
        <v>1.2</v>
      </c>
      <c r="E15" s="40">
        <f t="shared" si="0"/>
        <v>0.69254826666666669</v>
      </c>
      <c r="F15" s="41">
        <f t="shared" si="1"/>
        <v>0.12824967901234569</v>
      </c>
    </row>
    <row r="16" spans="1:6" ht="12" x14ac:dyDescent="0.25">
      <c r="A16" s="44" t="s">
        <v>222</v>
      </c>
      <c r="B16" s="39">
        <v>0.9</v>
      </c>
      <c r="C16" s="39" t="s">
        <v>221</v>
      </c>
      <c r="D16" s="39">
        <v>1.3</v>
      </c>
      <c r="E16" s="40">
        <f t="shared" si="0"/>
        <v>0.63927532307692314</v>
      </c>
      <c r="F16" s="41">
        <f t="shared" si="1"/>
        <v>0.11838431908831909</v>
      </c>
    </row>
    <row r="17" spans="1:6" ht="12" x14ac:dyDescent="0.25">
      <c r="A17" s="44" t="s">
        <v>223</v>
      </c>
      <c r="B17" s="39">
        <v>1</v>
      </c>
      <c r="C17" s="39" t="s">
        <v>221</v>
      </c>
      <c r="D17" s="39">
        <v>1.4</v>
      </c>
      <c r="E17" s="40">
        <f t="shared" si="0"/>
        <v>0.59361280000000005</v>
      </c>
      <c r="F17" s="41">
        <f t="shared" si="1"/>
        <v>0.1099282962962963</v>
      </c>
    </row>
    <row r="18" spans="1:6" ht="12" x14ac:dyDescent="0.25">
      <c r="A18" s="44" t="s">
        <v>224</v>
      </c>
      <c r="B18" s="39">
        <v>1</v>
      </c>
      <c r="C18" s="39" t="s">
        <v>225</v>
      </c>
      <c r="D18" s="39">
        <v>1.5</v>
      </c>
      <c r="E18" s="40">
        <f t="shared" si="0"/>
        <v>0.55403861333333326</v>
      </c>
      <c r="F18" s="41">
        <f t="shared" si="1"/>
        <v>0.10259974320987653</v>
      </c>
    </row>
    <row r="19" spans="1:6" x14ac:dyDescent="0.2">
      <c r="D19" s="39">
        <v>1.6</v>
      </c>
      <c r="E19" s="40">
        <f t="shared" si="0"/>
        <v>0.51941119999999996</v>
      </c>
      <c r="F19" s="41">
        <f t="shared" si="1"/>
        <v>9.618725925925925E-2</v>
      </c>
    </row>
    <row r="20" spans="1:6" x14ac:dyDescent="0.2">
      <c r="D20" s="39">
        <v>1.7</v>
      </c>
      <c r="E20" s="40">
        <f t="shared" si="0"/>
        <v>0.4888576</v>
      </c>
      <c r="F20" s="41">
        <f t="shared" si="1"/>
        <v>9.0529185185185171E-2</v>
      </c>
    </row>
    <row r="21" spans="1:6" ht="12" x14ac:dyDescent="0.25">
      <c r="A21" s="82" t="s">
        <v>226</v>
      </c>
      <c r="B21" s="82"/>
      <c r="C21" s="82"/>
      <c r="D21" s="39">
        <v>1.8</v>
      </c>
      <c r="E21" s="40">
        <f t="shared" si="0"/>
        <v>0.46169884444444448</v>
      </c>
      <c r="F21" s="41">
        <f t="shared" si="1"/>
        <v>8.5499786008230452E-2</v>
      </c>
    </row>
    <row r="22" spans="1:6" x14ac:dyDescent="0.2">
      <c r="A22" s="38" t="s">
        <v>227</v>
      </c>
      <c r="B22" s="39">
        <v>7.1999999999999995E-2</v>
      </c>
      <c r="C22" s="39" t="s">
        <v>228</v>
      </c>
      <c r="D22" s="39">
        <v>1.9</v>
      </c>
      <c r="E22" s="40">
        <f t="shared" si="0"/>
        <v>0.43739890526315794</v>
      </c>
      <c r="F22" s="41">
        <f t="shared" si="1"/>
        <v>8.0999797270955173E-2</v>
      </c>
    </row>
    <row r="23" spans="1:6" x14ac:dyDescent="0.2">
      <c r="A23" s="38" t="s">
        <v>229</v>
      </c>
      <c r="B23" s="39">
        <v>6.55</v>
      </c>
      <c r="C23" s="39" t="s">
        <v>230</v>
      </c>
      <c r="D23" s="39">
        <v>2</v>
      </c>
      <c r="E23" s="40">
        <f t="shared" si="0"/>
        <v>0.41552896</v>
      </c>
      <c r="F23" s="41">
        <f t="shared" si="1"/>
        <v>7.6949807407407408E-2</v>
      </c>
    </row>
    <row r="24" spans="1:6" ht="12" x14ac:dyDescent="0.25">
      <c r="A24" s="38" t="s">
        <v>231</v>
      </c>
      <c r="B24" s="39">
        <v>0.8</v>
      </c>
      <c r="C24" s="39" t="s">
        <v>228</v>
      </c>
      <c r="D24" s="39">
        <v>2.1</v>
      </c>
      <c r="E24" s="40">
        <f t="shared" si="0"/>
        <v>0.39574186666666661</v>
      </c>
      <c r="F24" s="41">
        <f t="shared" si="1"/>
        <v>7.3285530864197521E-2</v>
      </c>
    </row>
    <row r="25" spans="1:6" x14ac:dyDescent="0.2">
      <c r="A25" s="38" t="s">
        <v>232</v>
      </c>
      <c r="B25" s="40">
        <f>+B22*B23^B24</f>
        <v>0.32383630567855543</v>
      </c>
      <c r="C25" s="39" t="s">
        <v>233</v>
      </c>
      <c r="D25" s="39">
        <v>2.2000000000000002</v>
      </c>
      <c r="E25" s="40">
        <f t="shared" si="0"/>
        <v>0.37775360000000002</v>
      </c>
      <c r="F25" s="41">
        <f t="shared" si="1"/>
        <v>6.9954370370370375E-2</v>
      </c>
    </row>
    <row r="26" spans="1:6" x14ac:dyDescent="0.2">
      <c r="A26" s="38" t="s">
        <v>234</v>
      </c>
      <c r="B26" s="40">
        <f>VLOOKUP(B25,D3:E33,2,1)*B18/B16/B17/B15</f>
        <v>0.22044444444444442</v>
      </c>
      <c r="C26" s="39" t="s">
        <v>235</v>
      </c>
      <c r="D26" s="39">
        <v>2.2999999999999998</v>
      </c>
      <c r="E26" s="40">
        <f t="shared" si="0"/>
        <v>0.36132953043478266</v>
      </c>
      <c r="F26" s="41">
        <f t="shared" si="1"/>
        <v>6.6912876006441233E-2</v>
      </c>
    </row>
    <row r="27" spans="1:6" x14ac:dyDescent="0.2">
      <c r="A27" s="38" t="s">
        <v>236</v>
      </c>
      <c r="B27" s="47">
        <f>+IF(B25&lt;0.5,1,IF(B25&gt;2.5,2,0.75+0.5*B25))</f>
        <v>1</v>
      </c>
      <c r="C27" s="39" t="s">
        <v>237</v>
      </c>
      <c r="D27" s="39">
        <v>2.4</v>
      </c>
      <c r="E27" s="40">
        <f t="shared" si="0"/>
        <v>0.34627413333333334</v>
      </c>
      <c r="F27" s="41">
        <f t="shared" si="1"/>
        <v>6.4124839506172843E-2</v>
      </c>
    </row>
    <row r="28" spans="1:6" x14ac:dyDescent="0.2">
      <c r="D28" s="39">
        <v>2.5</v>
      </c>
      <c r="E28" s="40">
        <f t="shared" si="0"/>
        <v>0.33242316799999999</v>
      </c>
      <c r="F28" s="41">
        <f t="shared" si="1"/>
        <v>6.1559845925925921E-2</v>
      </c>
    </row>
    <row r="29" spans="1:6" x14ac:dyDescent="0.2">
      <c r="D29" s="39">
        <v>2.6</v>
      </c>
      <c r="E29" s="40">
        <f t="shared" si="0"/>
        <v>0.31963766153846157</v>
      </c>
      <c r="F29" s="41">
        <f t="shared" si="1"/>
        <v>5.9192159544159545E-2</v>
      </c>
    </row>
    <row r="30" spans="1:6" x14ac:dyDescent="0.2">
      <c r="D30" s="39">
        <v>2.7</v>
      </c>
      <c r="E30" s="40">
        <f t="shared" si="0"/>
        <v>0.30779922962962963</v>
      </c>
      <c r="F30" s="41">
        <f t="shared" si="1"/>
        <v>5.6999857338820299E-2</v>
      </c>
    </row>
    <row r="31" spans="1:6" x14ac:dyDescent="0.2">
      <c r="D31" s="39">
        <v>2.8</v>
      </c>
      <c r="E31" s="40">
        <f t="shared" si="0"/>
        <v>0.29680640000000003</v>
      </c>
      <c r="F31" s="41">
        <f t="shared" si="1"/>
        <v>5.4964148148148151E-2</v>
      </c>
    </row>
    <row r="32" spans="1:6" x14ac:dyDescent="0.2">
      <c r="D32" s="39">
        <v>2.9</v>
      </c>
      <c r="E32" s="40">
        <f t="shared" si="0"/>
        <v>0.28657169655172415</v>
      </c>
      <c r="F32" s="41">
        <f t="shared" si="1"/>
        <v>5.3068832694763729E-2</v>
      </c>
    </row>
    <row r="33" spans="2:7" x14ac:dyDescent="0.2">
      <c r="D33" s="39">
        <v>3</v>
      </c>
      <c r="E33" s="40">
        <f t="shared" si="0"/>
        <v>0.27701930666666663</v>
      </c>
      <c r="F33" s="41">
        <f t="shared" si="1"/>
        <v>5.1299871604938263E-2</v>
      </c>
    </row>
    <row r="34" spans="2:7" x14ac:dyDescent="0.2">
      <c r="B34" s="45"/>
    </row>
    <row r="37" spans="2:7" x14ac:dyDescent="0.2">
      <c r="E37" s="43">
        <f>2.48*0.4*1.2*(0.7/0.727)</f>
        <v>1.1461898211829435</v>
      </c>
    </row>
    <row r="38" spans="2:7" x14ac:dyDescent="0.2">
      <c r="E38" s="43">
        <f>1.146/6</f>
        <v>0.19099999999999998</v>
      </c>
    </row>
    <row r="42" spans="2:7" x14ac:dyDescent="0.2">
      <c r="D42" s="43">
        <f>145000*2.3</f>
        <v>333500</v>
      </c>
      <c r="G42" s="37">
        <f>0.004445*0.75*6</f>
        <v>2.0002499999999999E-2</v>
      </c>
    </row>
  </sheetData>
  <mergeCells count="3">
    <mergeCell ref="A2:C2"/>
    <mergeCell ref="A14:C14"/>
    <mergeCell ref="A21:C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85270-C90D-4AFB-A196-469B7A26E749}">
  <dimension ref="A4:Q28"/>
  <sheetViews>
    <sheetView tabSelected="1" zoomScale="110" zoomScaleNormal="110" workbookViewId="0">
      <selection activeCell="I28" sqref="I28"/>
    </sheetView>
  </sheetViews>
  <sheetFormatPr baseColWidth="10" defaultRowHeight="14.4" x14ac:dyDescent="0.3"/>
  <cols>
    <col min="1" max="15" width="9.21875" style="24" customWidth="1"/>
    <col min="16" max="17" width="9.33203125" style="24" customWidth="1"/>
    <col min="18" max="19" width="9.88671875" style="24" customWidth="1"/>
    <col min="20" max="16384" width="11.5546875" style="24"/>
  </cols>
  <sheetData>
    <row r="4" spans="1:17" x14ac:dyDescent="0.3">
      <c r="A4" s="83" t="s">
        <v>238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</row>
    <row r="5" spans="1:17" x14ac:dyDescent="0.3">
      <c r="A5" s="48" t="s">
        <v>239</v>
      </c>
      <c r="B5" s="48" t="s">
        <v>240</v>
      </c>
      <c r="C5" s="49" t="s">
        <v>241</v>
      </c>
      <c r="D5" s="49" t="s">
        <v>242</v>
      </c>
      <c r="E5" s="49" t="s">
        <v>243</v>
      </c>
      <c r="F5" s="49" t="s">
        <v>244</v>
      </c>
      <c r="G5" s="49" t="s">
        <v>245</v>
      </c>
      <c r="H5" s="49" t="s">
        <v>246</v>
      </c>
      <c r="I5" s="49" t="s">
        <v>247</v>
      </c>
      <c r="J5" s="49" t="s">
        <v>248</v>
      </c>
      <c r="K5" s="49" t="s">
        <v>249</v>
      </c>
      <c r="L5" s="49" t="s">
        <v>250</v>
      </c>
      <c r="M5" s="49" t="s">
        <v>251</v>
      </c>
      <c r="N5" s="49" t="s">
        <v>252</v>
      </c>
      <c r="O5" s="49" t="s">
        <v>253</v>
      </c>
    </row>
    <row r="6" spans="1:17" x14ac:dyDescent="0.3">
      <c r="A6" s="50" t="s">
        <v>254</v>
      </c>
      <c r="B6" s="50" t="s">
        <v>254</v>
      </c>
      <c r="C6" s="51" t="s">
        <v>255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</row>
    <row r="7" spans="1:17" x14ac:dyDescent="0.3">
      <c r="A7" s="52" t="s">
        <v>256</v>
      </c>
      <c r="B7" s="52" t="s">
        <v>186</v>
      </c>
      <c r="C7" s="53">
        <v>0.46200000000000002</v>
      </c>
      <c r="D7" s="53">
        <v>0.89590000000000003</v>
      </c>
      <c r="E7" s="53">
        <v>8.9999999999999998E-4</v>
      </c>
      <c r="F7" s="53">
        <v>0</v>
      </c>
      <c r="G7" s="53">
        <v>0.89590000000000003</v>
      </c>
      <c r="H7" s="53">
        <v>8.9999999999999998E-4</v>
      </c>
      <c r="I7" s="53">
        <v>0</v>
      </c>
      <c r="J7" s="53">
        <v>1E-4</v>
      </c>
      <c r="K7" s="53">
        <v>0.15740000000000001</v>
      </c>
      <c r="L7" s="53">
        <v>7.0000000000000001E-3</v>
      </c>
      <c r="M7" s="53">
        <v>1E-4</v>
      </c>
      <c r="N7" s="53">
        <v>0.15740000000000001</v>
      </c>
      <c r="O7" s="53">
        <v>7.0000000000000001E-3</v>
      </c>
      <c r="P7" s="53">
        <f>SUM(J7:L7)</f>
        <v>0.16450000000000001</v>
      </c>
      <c r="Q7" s="16">
        <f>+L7/P7</f>
        <v>4.2553191489361701E-2</v>
      </c>
    </row>
    <row r="8" spans="1:17" x14ac:dyDescent="0.3">
      <c r="A8" s="52" t="s">
        <v>256</v>
      </c>
      <c r="B8" s="52" t="s">
        <v>188</v>
      </c>
      <c r="C8" s="53">
        <v>0.41699999999999998</v>
      </c>
      <c r="D8" s="53">
        <v>2.2000000000000001E-3</v>
      </c>
      <c r="E8" s="53">
        <v>0.87170000000000003</v>
      </c>
      <c r="F8" s="53">
        <v>0</v>
      </c>
      <c r="G8" s="53">
        <v>0.89810000000000001</v>
      </c>
      <c r="H8" s="53">
        <v>0.87260000000000004</v>
      </c>
      <c r="I8" s="53">
        <v>0</v>
      </c>
      <c r="J8" s="53">
        <v>0.13439999999999999</v>
      </c>
      <c r="K8" s="53">
        <v>4.0000000000000002E-4</v>
      </c>
      <c r="L8" s="53">
        <v>4.4600000000000001E-2</v>
      </c>
      <c r="M8" s="53">
        <v>0.13450000000000001</v>
      </c>
      <c r="N8" s="53">
        <v>0.15790000000000001</v>
      </c>
      <c r="O8" s="53">
        <v>5.16E-2</v>
      </c>
      <c r="P8" s="53">
        <f>SUM(J8:L8)</f>
        <v>0.1794</v>
      </c>
      <c r="Q8" s="16">
        <f>+L8/P8</f>
        <v>0.24860646599777034</v>
      </c>
    </row>
    <row r="9" spans="1:17" x14ac:dyDescent="0.3">
      <c r="A9" s="52" t="s">
        <v>256</v>
      </c>
      <c r="B9" s="52" t="s">
        <v>187</v>
      </c>
      <c r="C9" s="53">
        <v>0.33700000000000002</v>
      </c>
      <c r="D9" s="53">
        <v>5.1000000000000004E-3</v>
      </c>
      <c r="E9" s="53">
        <v>4.4999999999999998E-2</v>
      </c>
      <c r="F9" s="53">
        <v>0</v>
      </c>
      <c r="G9" s="53">
        <v>0.9032</v>
      </c>
      <c r="H9" s="53">
        <v>0.91759999999999997</v>
      </c>
      <c r="I9" s="53">
        <v>0</v>
      </c>
      <c r="J9" s="53">
        <v>6.3E-3</v>
      </c>
      <c r="K9" s="53">
        <v>8.9999999999999998E-4</v>
      </c>
      <c r="L9" s="53">
        <v>0.86519999999999997</v>
      </c>
      <c r="M9" s="53">
        <v>0.14080000000000001</v>
      </c>
      <c r="N9" s="53">
        <v>0.1588</v>
      </c>
      <c r="O9" s="53">
        <v>0.91679999999999995</v>
      </c>
      <c r="P9" s="53">
        <f>SUM(J9:L9)</f>
        <v>0.87239999999999995</v>
      </c>
      <c r="Q9" s="16">
        <f>+L9/P9</f>
        <v>0.99174690508940855</v>
      </c>
    </row>
    <row r="10" spans="1:17" x14ac:dyDescent="0.3">
      <c r="A10" s="52" t="s">
        <v>256</v>
      </c>
      <c r="B10" s="52" t="s">
        <v>191</v>
      </c>
      <c r="C10" s="53">
        <v>0.13200000000000001</v>
      </c>
      <c r="D10" s="53">
        <v>9.3700000000000006E-2</v>
      </c>
      <c r="E10" s="53">
        <v>1.1000000000000001E-3</v>
      </c>
      <c r="F10" s="53">
        <v>0</v>
      </c>
      <c r="G10" s="53">
        <v>0.99690000000000001</v>
      </c>
      <c r="H10" s="53">
        <v>0.91869999999999996</v>
      </c>
      <c r="I10" s="53">
        <v>0</v>
      </c>
      <c r="J10" s="53">
        <v>1.1599999999999999E-2</v>
      </c>
      <c r="K10" s="53">
        <v>0.81469999999999998</v>
      </c>
      <c r="L10" s="53">
        <v>1.4E-3</v>
      </c>
      <c r="M10" s="53">
        <v>0.15240000000000001</v>
      </c>
      <c r="N10" s="53">
        <v>0.97350000000000003</v>
      </c>
      <c r="O10" s="53">
        <v>0.91820000000000002</v>
      </c>
    </row>
    <row r="11" spans="1:17" x14ac:dyDescent="0.3">
      <c r="A11" s="52" t="s">
        <v>256</v>
      </c>
      <c r="B11" s="52" t="s">
        <v>193</v>
      </c>
      <c r="C11" s="53">
        <v>0.128</v>
      </c>
      <c r="D11" s="53">
        <v>1.9E-3</v>
      </c>
      <c r="E11" s="53">
        <v>7.8100000000000003E-2</v>
      </c>
      <c r="F11" s="53">
        <v>0</v>
      </c>
      <c r="G11" s="53">
        <v>0.99880000000000002</v>
      </c>
      <c r="H11" s="53">
        <v>0.99680000000000002</v>
      </c>
      <c r="I11" s="53">
        <v>0</v>
      </c>
      <c r="J11" s="53">
        <v>0.81299999999999994</v>
      </c>
      <c r="K11" s="53">
        <v>1.6400000000000001E-2</v>
      </c>
      <c r="L11" s="53">
        <v>3.0000000000000001E-3</v>
      </c>
      <c r="M11" s="53">
        <v>0.96540000000000004</v>
      </c>
      <c r="N11" s="53">
        <v>0.9899</v>
      </c>
      <c r="O11" s="53">
        <v>0.92120000000000002</v>
      </c>
    </row>
    <row r="12" spans="1:17" x14ac:dyDescent="0.3">
      <c r="A12" s="52" t="s">
        <v>256</v>
      </c>
      <c r="B12" s="52" t="s">
        <v>189</v>
      </c>
      <c r="C12" s="53">
        <v>0.10299999999999999</v>
      </c>
      <c r="D12" s="53">
        <v>1.1999999999999999E-3</v>
      </c>
      <c r="E12" s="53">
        <v>3.2000000000000002E-3</v>
      </c>
      <c r="F12" s="53">
        <v>0</v>
      </c>
      <c r="G12" s="53">
        <v>1</v>
      </c>
      <c r="H12" s="53">
        <v>1</v>
      </c>
      <c r="I12" s="53">
        <v>0</v>
      </c>
      <c r="J12" s="53">
        <v>3.4200000000000001E-2</v>
      </c>
      <c r="K12" s="53">
        <v>0.01</v>
      </c>
      <c r="L12" s="53">
        <v>7.8799999999999995E-2</v>
      </c>
      <c r="M12" s="53">
        <v>0.99970000000000003</v>
      </c>
      <c r="N12" s="53">
        <v>1</v>
      </c>
      <c r="O12" s="53">
        <v>1</v>
      </c>
    </row>
    <row r="13" spans="1:17" x14ac:dyDescent="0.3">
      <c r="A13" s="52" t="s">
        <v>256</v>
      </c>
      <c r="B13" s="52" t="s">
        <v>194</v>
      </c>
      <c r="C13" s="53">
        <v>2.5000000000000001E-2</v>
      </c>
      <c r="D13" s="53">
        <v>2.1469999999999999E-6</v>
      </c>
      <c r="E13" s="53">
        <v>2.3059999999999999E-5</v>
      </c>
      <c r="F13" s="53">
        <v>0</v>
      </c>
      <c r="G13" s="53">
        <v>1</v>
      </c>
      <c r="H13" s="53">
        <v>1</v>
      </c>
      <c r="I13" s="53">
        <v>0</v>
      </c>
      <c r="J13" s="53">
        <v>1E-4</v>
      </c>
      <c r="K13" s="53">
        <v>1.1440000000000001E-5</v>
      </c>
      <c r="L13" s="53">
        <v>7.9170000000000006E-6</v>
      </c>
      <c r="M13" s="53">
        <v>0.99980000000000002</v>
      </c>
      <c r="N13" s="53">
        <v>1</v>
      </c>
      <c r="O13" s="53">
        <v>1</v>
      </c>
    </row>
    <row r="14" spans="1:17" x14ac:dyDescent="0.3">
      <c r="A14" s="52" t="s">
        <v>256</v>
      </c>
      <c r="B14" s="52" t="s">
        <v>195</v>
      </c>
      <c r="C14" s="53">
        <v>2.4E-2</v>
      </c>
      <c r="D14" s="53">
        <v>7.6990000000000003E-7</v>
      </c>
      <c r="E14" s="53">
        <v>6.4590000000000003E-6</v>
      </c>
      <c r="F14" s="53">
        <v>0</v>
      </c>
      <c r="G14" s="53">
        <v>1</v>
      </c>
      <c r="H14" s="53">
        <v>1</v>
      </c>
      <c r="I14" s="53">
        <v>0</v>
      </c>
      <c r="J14" s="53">
        <v>2.0000000000000001E-4</v>
      </c>
      <c r="K14" s="53">
        <v>1.4589999999999999E-5</v>
      </c>
      <c r="L14" s="53">
        <v>1.7150000000000001E-6</v>
      </c>
      <c r="M14" s="53">
        <v>1</v>
      </c>
      <c r="N14" s="53">
        <v>1</v>
      </c>
      <c r="O14" s="53">
        <v>1</v>
      </c>
    </row>
    <row r="15" spans="1:17" x14ac:dyDescent="0.3">
      <c r="A15" s="52" t="s">
        <v>256</v>
      </c>
      <c r="B15" s="52" t="s">
        <v>190</v>
      </c>
      <c r="C15" s="53">
        <v>2.3E-2</v>
      </c>
      <c r="D15" s="53">
        <v>6.3819999999999998E-7</v>
      </c>
      <c r="E15" s="53">
        <v>0</v>
      </c>
      <c r="F15" s="53">
        <v>0</v>
      </c>
      <c r="G15" s="53">
        <v>1</v>
      </c>
      <c r="H15" s="53">
        <v>1</v>
      </c>
      <c r="I15" s="53">
        <v>0</v>
      </c>
      <c r="J15" s="53">
        <v>0</v>
      </c>
      <c r="K15" s="53">
        <v>3.3510000000000002E-6</v>
      </c>
      <c r="L15" s="53">
        <v>0</v>
      </c>
      <c r="M15" s="53">
        <v>1</v>
      </c>
      <c r="N15" s="53">
        <v>1</v>
      </c>
      <c r="O15" s="53">
        <v>1</v>
      </c>
    </row>
    <row r="16" spans="1:17" x14ac:dyDescent="0.3">
      <c r="A16" s="52" t="s">
        <v>256</v>
      </c>
      <c r="B16" s="52" t="s">
        <v>257</v>
      </c>
      <c r="C16" s="53">
        <v>2.1999999999999999E-2</v>
      </c>
      <c r="D16" s="53">
        <v>0</v>
      </c>
      <c r="E16" s="53">
        <v>0</v>
      </c>
      <c r="F16" s="53">
        <v>0</v>
      </c>
      <c r="G16" s="53">
        <v>1</v>
      </c>
      <c r="H16" s="53">
        <v>1</v>
      </c>
      <c r="I16" s="53">
        <v>0</v>
      </c>
      <c r="J16" s="53">
        <v>0</v>
      </c>
      <c r="K16" s="53">
        <v>3.6720000000000002E-6</v>
      </c>
      <c r="L16" s="53">
        <v>0</v>
      </c>
      <c r="M16" s="53">
        <v>1</v>
      </c>
      <c r="N16" s="53">
        <v>1</v>
      </c>
      <c r="O16" s="53">
        <v>1</v>
      </c>
    </row>
    <row r="17" spans="1:15" x14ac:dyDescent="0.3">
      <c r="A17" s="52" t="s">
        <v>256</v>
      </c>
      <c r="B17" s="52" t="s">
        <v>196</v>
      </c>
      <c r="C17" s="53">
        <v>1.4999999999999999E-2</v>
      </c>
      <c r="D17" s="53">
        <v>0</v>
      </c>
      <c r="E17" s="53">
        <v>7.568E-7</v>
      </c>
      <c r="F17" s="53">
        <v>0</v>
      </c>
      <c r="G17" s="53">
        <v>1</v>
      </c>
      <c r="H17" s="53">
        <v>1</v>
      </c>
      <c r="I17" s="53">
        <v>0</v>
      </c>
      <c r="J17" s="53">
        <v>5.5079999999999996E-6</v>
      </c>
      <c r="K17" s="53">
        <v>0</v>
      </c>
      <c r="L17" s="53">
        <v>0</v>
      </c>
      <c r="M17" s="53">
        <v>1</v>
      </c>
      <c r="N17" s="53">
        <v>1</v>
      </c>
      <c r="O17" s="53">
        <v>1</v>
      </c>
    </row>
    <row r="18" spans="1:15" x14ac:dyDescent="0.3">
      <c r="A18" s="52" t="s">
        <v>256</v>
      </c>
      <c r="B18" s="52" t="s">
        <v>192</v>
      </c>
      <c r="C18" s="53">
        <v>1.4999999999999999E-2</v>
      </c>
      <c r="D18" s="53">
        <v>0</v>
      </c>
      <c r="E18" s="53">
        <v>0</v>
      </c>
      <c r="F18" s="53">
        <v>0</v>
      </c>
      <c r="G18" s="53">
        <v>1</v>
      </c>
      <c r="H18" s="53">
        <v>1</v>
      </c>
      <c r="I18" s="53">
        <v>0</v>
      </c>
      <c r="J18" s="53">
        <v>2.768E-6</v>
      </c>
      <c r="K18" s="53">
        <v>0</v>
      </c>
      <c r="L18" s="53">
        <v>0</v>
      </c>
      <c r="M18" s="53">
        <v>1</v>
      </c>
      <c r="N18" s="53">
        <v>1</v>
      </c>
      <c r="O18" s="53">
        <v>1</v>
      </c>
    </row>
    <row r="21" spans="1:15" x14ac:dyDescent="0.3">
      <c r="E21" s="84" t="s">
        <v>263</v>
      </c>
      <c r="F21" s="84"/>
      <c r="G21" s="84"/>
    </row>
    <row r="22" spans="1:15" x14ac:dyDescent="0.3">
      <c r="E22" s="25" t="s">
        <v>258</v>
      </c>
      <c r="F22" s="25">
        <v>0.85</v>
      </c>
      <c r="G22" s="25" t="s">
        <v>12</v>
      </c>
    </row>
    <row r="23" spans="1:15" x14ac:dyDescent="0.3">
      <c r="E23" s="25" t="s">
        <v>259</v>
      </c>
      <c r="F23" s="25">
        <v>0.78</v>
      </c>
      <c r="G23" s="25" t="s">
        <v>12</v>
      </c>
    </row>
    <row r="24" spans="1:15" x14ac:dyDescent="0.3">
      <c r="E24" s="25" t="s">
        <v>260</v>
      </c>
      <c r="F24" s="2">
        <f>+(F22+F23)/2</f>
        <v>0.81499999999999995</v>
      </c>
      <c r="G24" s="25" t="s">
        <v>12</v>
      </c>
    </row>
    <row r="25" spans="1:15" x14ac:dyDescent="0.3">
      <c r="E25" s="25" t="s">
        <v>261</v>
      </c>
      <c r="F25" s="2">
        <f>+F24*1.2</f>
        <v>0.97799999999999987</v>
      </c>
      <c r="G25" s="25" t="s">
        <v>12</v>
      </c>
    </row>
    <row r="26" spans="1:15" x14ac:dyDescent="0.3">
      <c r="E26" s="25"/>
      <c r="F26" s="25"/>
      <c r="G26" s="25"/>
    </row>
    <row r="27" spans="1:15" x14ac:dyDescent="0.3">
      <c r="E27" s="25" t="s">
        <v>262</v>
      </c>
      <c r="F27" s="25">
        <f>+MAX(F22:F23)</f>
        <v>0.85</v>
      </c>
      <c r="G27" s="25" t="s">
        <v>12</v>
      </c>
    </row>
    <row r="28" spans="1:15" x14ac:dyDescent="0.3">
      <c r="E28" s="84" t="str">
        <f>+IF(F27&lt;F25,"OK","NO")</f>
        <v>OK</v>
      </c>
      <c r="F28" s="84"/>
      <c r="G28" s="84"/>
    </row>
  </sheetData>
  <mergeCells count="3">
    <mergeCell ref="A4:O4"/>
    <mergeCell ref="E21:G21"/>
    <mergeCell ref="E28:G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losa horm</vt:lpstr>
      <vt:lpstr>VIGAS horm</vt:lpstr>
      <vt:lpstr>COL horm</vt:lpstr>
      <vt:lpstr>SISMICA</vt:lpstr>
      <vt:lpstr>DATOS SISMICOS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edisson chavez</dc:creator>
  <cp:lastModifiedBy>USUARIO 2023</cp:lastModifiedBy>
  <dcterms:created xsi:type="dcterms:W3CDTF">2025-08-25T23:09:09Z</dcterms:created>
  <dcterms:modified xsi:type="dcterms:W3CDTF">2026-03-13T22:05:10Z</dcterms:modified>
</cp:coreProperties>
</file>